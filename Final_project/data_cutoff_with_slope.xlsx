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y\projects\PhD\angle_work\"/>
    </mc:Choice>
  </mc:AlternateContent>
  <xr:revisionPtr revIDLastSave="0" documentId="13_ncr:1_{0C918A91-7705-4B35-8AD7-505A8C6BAF32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angle_and_slope" sheetId="1" r:id="rId1"/>
    <sheet name="Upstream_bar" sheetId="5" r:id="rId2"/>
    <sheet name="infill_rate" sheetId="3" r:id="rId3"/>
    <sheet name="infill_ten" sheetId="4" r:id="rId4"/>
    <sheet name="migration" sheetId="2" r:id="rId5"/>
    <sheet name="data_merge" sheetId="6" r:id="rId6"/>
    <sheet name="Sheet1" sheetId="9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" i="4" l="1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" i="4"/>
  <c r="I7" i="9"/>
  <c r="L5" i="9"/>
  <c r="L3" i="9"/>
  <c r="L2" i="9"/>
  <c r="G5" i="9"/>
  <c r="G3" i="9"/>
  <c r="G2" i="9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" i="5"/>
  <c r="J182" i="4"/>
  <c r="I182" i="4"/>
  <c r="H12" i="4"/>
  <c r="F12" i="4"/>
  <c r="I3" i="4"/>
  <c r="J113" i="1"/>
  <c r="J114" i="1"/>
  <c r="J115" i="1"/>
  <c r="J174" i="1"/>
  <c r="L3" i="1"/>
  <c r="J3" i="1" s="1"/>
  <c r="L4" i="1"/>
  <c r="J4" i="1" s="1"/>
  <c r="L5" i="1"/>
  <c r="J5" i="1" s="1"/>
  <c r="L6" i="1"/>
  <c r="J6" i="1" s="1"/>
  <c r="L7" i="1"/>
  <c r="J7" i="1" s="1"/>
  <c r="L8" i="1"/>
  <c r="J8" i="1" s="1"/>
  <c r="L9" i="1"/>
  <c r="J9" i="1" s="1"/>
  <c r="L10" i="1"/>
  <c r="J10" i="1" s="1"/>
  <c r="L11" i="1"/>
  <c r="J11" i="1" s="1"/>
  <c r="L12" i="1"/>
  <c r="J12" i="1" s="1"/>
  <c r="L13" i="1"/>
  <c r="J13" i="1" s="1"/>
  <c r="L16" i="1"/>
  <c r="J16" i="1" s="1"/>
  <c r="L18" i="1"/>
  <c r="J18" i="1" s="1"/>
  <c r="L19" i="1"/>
  <c r="J19" i="1" s="1"/>
  <c r="L20" i="1"/>
  <c r="J20" i="1" s="1"/>
  <c r="L21" i="1"/>
  <c r="J21" i="1" s="1"/>
  <c r="L23" i="1"/>
  <c r="J23" i="1" s="1"/>
  <c r="L24" i="1"/>
  <c r="J24" i="1" s="1"/>
  <c r="L25" i="1"/>
  <c r="J25" i="1" s="1"/>
  <c r="L26" i="1"/>
  <c r="J26" i="1" s="1"/>
  <c r="L29" i="1"/>
  <c r="J29" i="1" s="1"/>
  <c r="L30" i="1"/>
  <c r="J30" i="1" s="1"/>
  <c r="L31" i="1"/>
  <c r="J31" i="1" s="1"/>
  <c r="L32" i="1"/>
  <c r="J32" i="1" s="1"/>
  <c r="L33" i="1"/>
  <c r="J33" i="1" s="1"/>
  <c r="L34" i="1"/>
  <c r="J34" i="1" s="1"/>
  <c r="L35" i="1"/>
  <c r="J35" i="1" s="1"/>
  <c r="L36" i="1"/>
  <c r="J36" i="1" s="1"/>
  <c r="L37" i="1"/>
  <c r="J37" i="1" s="1"/>
  <c r="L38" i="1"/>
  <c r="J38" i="1" s="1"/>
  <c r="L39" i="1"/>
  <c r="J39" i="1" s="1"/>
  <c r="L41" i="1"/>
  <c r="J41" i="1" s="1"/>
  <c r="L42" i="1"/>
  <c r="J42" i="1" s="1"/>
  <c r="L43" i="1"/>
  <c r="J43" i="1" s="1"/>
  <c r="L44" i="1"/>
  <c r="J44" i="1" s="1"/>
  <c r="L45" i="1"/>
  <c r="J45" i="1" s="1"/>
  <c r="L46" i="1"/>
  <c r="J46" i="1" s="1"/>
  <c r="L48" i="1"/>
  <c r="J48" i="1" s="1"/>
  <c r="L49" i="1"/>
  <c r="J49" i="1" s="1"/>
  <c r="L50" i="1"/>
  <c r="J50" i="1" s="1"/>
  <c r="L51" i="1"/>
  <c r="J51" i="1" s="1"/>
  <c r="L52" i="1"/>
  <c r="J52" i="1" s="1"/>
  <c r="L56" i="1"/>
  <c r="J56" i="1" s="1"/>
  <c r="L58" i="1"/>
  <c r="J58" i="1" s="1"/>
  <c r="L59" i="1"/>
  <c r="J59" i="1" s="1"/>
  <c r="L60" i="1"/>
  <c r="J60" i="1" s="1"/>
  <c r="L61" i="1"/>
  <c r="J61" i="1" s="1"/>
  <c r="L62" i="1"/>
  <c r="J62" i="1" s="1"/>
  <c r="L63" i="1"/>
  <c r="J63" i="1" s="1"/>
  <c r="L64" i="1"/>
  <c r="J64" i="1" s="1"/>
  <c r="L65" i="1"/>
  <c r="J65" i="1" s="1"/>
  <c r="L66" i="1"/>
  <c r="J66" i="1" s="1"/>
  <c r="L67" i="1"/>
  <c r="J67" i="1" s="1"/>
  <c r="L68" i="1"/>
  <c r="J68" i="1" s="1"/>
  <c r="L69" i="1"/>
  <c r="J69" i="1" s="1"/>
  <c r="L70" i="1"/>
  <c r="J70" i="1" s="1"/>
  <c r="L71" i="1"/>
  <c r="J71" i="1" s="1"/>
  <c r="L72" i="1"/>
  <c r="J72" i="1" s="1"/>
  <c r="L73" i="1"/>
  <c r="J73" i="1" s="1"/>
  <c r="L74" i="1"/>
  <c r="J74" i="1" s="1"/>
  <c r="L75" i="1"/>
  <c r="J75" i="1" s="1"/>
  <c r="L76" i="1"/>
  <c r="J76" i="1" s="1"/>
  <c r="L77" i="1"/>
  <c r="J77" i="1" s="1"/>
  <c r="L78" i="1"/>
  <c r="J78" i="1" s="1"/>
  <c r="L79" i="1"/>
  <c r="J79" i="1" s="1"/>
  <c r="L80" i="1"/>
  <c r="J80" i="1" s="1"/>
  <c r="L81" i="1"/>
  <c r="J81" i="1" s="1"/>
  <c r="L82" i="1"/>
  <c r="J82" i="1" s="1"/>
  <c r="L83" i="1"/>
  <c r="J83" i="1" s="1"/>
  <c r="L84" i="1"/>
  <c r="J84" i="1" s="1"/>
  <c r="L85" i="1"/>
  <c r="J85" i="1" s="1"/>
  <c r="L86" i="1"/>
  <c r="J86" i="1" s="1"/>
  <c r="L87" i="1"/>
  <c r="J87" i="1" s="1"/>
  <c r="L88" i="1"/>
  <c r="J88" i="1" s="1"/>
  <c r="L89" i="1"/>
  <c r="J89" i="1" s="1"/>
  <c r="L91" i="1"/>
  <c r="J91" i="1" s="1"/>
  <c r="L93" i="1"/>
  <c r="J93" i="1" s="1"/>
  <c r="L94" i="1"/>
  <c r="J94" i="1" s="1"/>
  <c r="L95" i="1"/>
  <c r="J95" i="1" s="1"/>
  <c r="L96" i="1"/>
  <c r="J96" i="1" s="1"/>
  <c r="L97" i="1"/>
  <c r="J97" i="1" s="1"/>
  <c r="L98" i="1"/>
  <c r="J98" i="1" s="1"/>
  <c r="L99" i="1"/>
  <c r="J99" i="1" s="1"/>
  <c r="L100" i="1"/>
  <c r="J100" i="1" s="1"/>
  <c r="L101" i="1"/>
  <c r="J101" i="1" s="1"/>
  <c r="L102" i="1"/>
  <c r="J102" i="1" s="1"/>
  <c r="L103" i="1"/>
  <c r="J103" i="1" s="1"/>
  <c r="L104" i="1"/>
  <c r="J104" i="1" s="1"/>
  <c r="L105" i="1"/>
  <c r="J105" i="1" s="1"/>
  <c r="L106" i="1"/>
  <c r="J106" i="1" s="1"/>
  <c r="L107" i="1"/>
  <c r="J107" i="1" s="1"/>
  <c r="L108" i="1"/>
  <c r="J108" i="1" s="1"/>
  <c r="L109" i="1"/>
  <c r="J109" i="1" s="1"/>
  <c r="L110" i="1"/>
  <c r="J110" i="1" s="1"/>
  <c r="L112" i="1"/>
  <c r="J112" i="1" s="1"/>
  <c r="L113" i="1"/>
  <c r="L114" i="1"/>
  <c r="L115" i="1"/>
  <c r="L116" i="1"/>
  <c r="J116" i="1" s="1"/>
  <c r="L117" i="1"/>
  <c r="J117" i="1" s="1"/>
  <c r="L118" i="1"/>
  <c r="J118" i="1" s="1"/>
  <c r="L119" i="1"/>
  <c r="J119" i="1" s="1"/>
  <c r="L120" i="1"/>
  <c r="J120" i="1" s="1"/>
  <c r="L121" i="1"/>
  <c r="J121" i="1" s="1"/>
  <c r="L122" i="1"/>
  <c r="J122" i="1" s="1"/>
  <c r="L123" i="1"/>
  <c r="J123" i="1" s="1"/>
  <c r="L124" i="1"/>
  <c r="J124" i="1" s="1"/>
  <c r="L125" i="1"/>
  <c r="J125" i="1" s="1"/>
  <c r="L126" i="1"/>
  <c r="J126" i="1" s="1"/>
  <c r="L127" i="1"/>
  <c r="J127" i="1" s="1"/>
  <c r="L128" i="1"/>
  <c r="J128" i="1" s="1"/>
  <c r="L129" i="1"/>
  <c r="J129" i="1" s="1"/>
  <c r="L130" i="1"/>
  <c r="J130" i="1" s="1"/>
  <c r="L131" i="1"/>
  <c r="J131" i="1" s="1"/>
  <c r="L132" i="1"/>
  <c r="J132" i="1" s="1"/>
  <c r="L133" i="1"/>
  <c r="J133" i="1" s="1"/>
  <c r="L134" i="1"/>
  <c r="J134" i="1" s="1"/>
  <c r="L135" i="1"/>
  <c r="J135" i="1" s="1"/>
  <c r="L136" i="1"/>
  <c r="J136" i="1" s="1"/>
  <c r="L137" i="1"/>
  <c r="J137" i="1" s="1"/>
  <c r="L138" i="1"/>
  <c r="J138" i="1" s="1"/>
  <c r="L139" i="1"/>
  <c r="J139" i="1" s="1"/>
  <c r="L140" i="1"/>
  <c r="J140" i="1" s="1"/>
  <c r="L141" i="1"/>
  <c r="J141" i="1" s="1"/>
  <c r="L142" i="1"/>
  <c r="J142" i="1" s="1"/>
  <c r="L143" i="1"/>
  <c r="J143" i="1" s="1"/>
  <c r="L144" i="1"/>
  <c r="J144" i="1" s="1"/>
  <c r="L145" i="1"/>
  <c r="J145" i="1" s="1"/>
  <c r="L146" i="1"/>
  <c r="J146" i="1" s="1"/>
  <c r="L147" i="1"/>
  <c r="J147" i="1" s="1"/>
  <c r="L148" i="1"/>
  <c r="J148" i="1" s="1"/>
  <c r="L149" i="1"/>
  <c r="J149" i="1" s="1"/>
  <c r="L151" i="1"/>
  <c r="J151" i="1" s="1"/>
  <c r="L152" i="1"/>
  <c r="J152" i="1" s="1"/>
  <c r="L153" i="1"/>
  <c r="J153" i="1" s="1"/>
  <c r="L154" i="1"/>
  <c r="J154" i="1" s="1"/>
  <c r="L155" i="1"/>
  <c r="J155" i="1" s="1"/>
  <c r="L156" i="1"/>
  <c r="J156" i="1" s="1"/>
  <c r="L157" i="1"/>
  <c r="J157" i="1" s="1"/>
  <c r="L158" i="1"/>
  <c r="J158" i="1" s="1"/>
  <c r="L159" i="1"/>
  <c r="J159" i="1" s="1"/>
  <c r="L160" i="1"/>
  <c r="J160" i="1" s="1"/>
  <c r="L161" i="1"/>
  <c r="J161" i="1" s="1"/>
  <c r="L162" i="1"/>
  <c r="J162" i="1" s="1"/>
  <c r="L163" i="1"/>
  <c r="J163" i="1" s="1"/>
  <c r="L164" i="1"/>
  <c r="J164" i="1" s="1"/>
  <c r="L165" i="1"/>
  <c r="J165" i="1" s="1"/>
  <c r="L166" i="1"/>
  <c r="J166" i="1" s="1"/>
  <c r="L167" i="1"/>
  <c r="J167" i="1" s="1"/>
  <c r="L168" i="1"/>
  <c r="J168" i="1" s="1"/>
  <c r="L169" i="1"/>
  <c r="J169" i="1" s="1"/>
  <c r="L170" i="1"/>
  <c r="J170" i="1" s="1"/>
  <c r="L171" i="1"/>
  <c r="J171" i="1" s="1"/>
  <c r="L172" i="1"/>
  <c r="J172" i="1" s="1"/>
  <c r="L173" i="1"/>
  <c r="J173" i="1" s="1"/>
  <c r="L174" i="1"/>
  <c r="L175" i="1"/>
  <c r="J175" i="1" s="1"/>
  <c r="L176" i="1"/>
  <c r="J176" i="1" s="1"/>
  <c r="L177" i="1"/>
  <c r="J177" i="1" s="1"/>
  <c r="L178" i="1"/>
  <c r="J178" i="1" s="1"/>
  <c r="L179" i="1"/>
  <c r="J179" i="1" s="1"/>
  <c r="L181" i="1"/>
  <c r="J181" i="1" s="1"/>
  <c r="L182" i="1"/>
  <c r="J182" i="1" s="1"/>
  <c r="L183" i="1"/>
  <c r="J183" i="1" s="1"/>
  <c r="L184" i="1"/>
  <c r="J184" i="1" s="1"/>
  <c r="L185" i="1"/>
  <c r="J185" i="1" s="1"/>
  <c r="L186" i="1"/>
  <c r="J186" i="1" s="1"/>
  <c r="L187" i="1"/>
  <c r="J187" i="1" s="1"/>
  <c r="L189" i="1"/>
  <c r="J189" i="1" s="1"/>
  <c r="L190" i="1"/>
  <c r="J190" i="1" s="1"/>
  <c r="L191" i="1"/>
  <c r="J191" i="1" s="1"/>
  <c r="L192" i="1"/>
  <c r="J192" i="1" s="1"/>
  <c r="L193" i="1"/>
  <c r="J193" i="1" s="1"/>
  <c r="L194" i="1"/>
  <c r="J194" i="1" s="1"/>
  <c r="L195" i="1"/>
  <c r="J195" i="1" s="1"/>
  <c r="L196" i="1"/>
  <c r="J196" i="1" s="1"/>
  <c r="L197" i="1"/>
  <c r="J197" i="1" s="1"/>
  <c r="L198" i="1"/>
  <c r="J198" i="1" s="1"/>
  <c r="L199" i="1"/>
  <c r="J199" i="1" s="1"/>
  <c r="L200" i="1"/>
  <c r="J200" i="1" s="1"/>
  <c r="L201" i="1"/>
  <c r="J201" i="1" s="1"/>
  <c r="L202" i="1"/>
  <c r="J202" i="1" s="1"/>
  <c r="L203" i="1"/>
  <c r="J203" i="1" s="1"/>
  <c r="L204" i="1"/>
  <c r="J204" i="1" s="1"/>
  <c r="L205" i="1"/>
  <c r="J205" i="1" s="1"/>
  <c r="L206" i="1"/>
  <c r="J206" i="1" s="1"/>
  <c r="L207" i="1"/>
  <c r="J207" i="1" s="1"/>
  <c r="L208" i="1"/>
  <c r="J208" i="1" s="1"/>
  <c r="L209" i="1"/>
  <c r="J209" i="1" s="1"/>
  <c r="L210" i="1"/>
  <c r="J210" i="1" s="1"/>
  <c r="L211" i="1"/>
  <c r="J211" i="1" s="1"/>
  <c r="L212" i="1"/>
  <c r="J212" i="1" s="1"/>
  <c r="L213" i="1"/>
  <c r="J213" i="1" s="1"/>
  <c r="L214" i="1"/>
  <c r="J214" i="1" s="1"/>
  <c r="L215" i="1"/>
  <c r="J215" i="1" s="1"/>
  <c r="L216" i="1"/>
  <c r="J216" i="1" s="1"/>
  <c r="L217" i="1"/>
  <c r="J217" i="1" s="1"/>
  <c r="L218" i="1"/>
  <c r="J218" i="1" s="1"/>
  <c r="L2" i="1"/>
  <c r="J2" i="1" s="1"/>
  <c r="G167" i="2"/>
  <c r="F167" i="2"/>
  <c r="E167" i="2"/>
  <c r="G166" i="2"/>
  <c r="F166" i="2"/>
  <c r="E166" i="2"/>
  <c r="F165" i="2"/>
  <c r="E165" i="2"/>
  <c r="G164" i="2"/>
  <c r="F164" i="2"/>
  <c r="E164" i="2"/>
  <c r="G163" i="2"/>
  <c r="F163" i="2"/>
  <c r="E163" i="2"/>
  <c r="G162" i="2"/>
  <c r="F162" i="2"/>
  <c r="E162" i="2"/>
  <c r="E161" i="2"/>
  <c r="E160" i="2"/>
  <c r="G159" i="2"/>
  <c r="F159" i="2"/>
  <c r="E159" i="2"/>
  <c r="G158" i="2"/>
  <c r="F158" i="2"/>
  <c r="E158" i="2"/>
  <c r="G157" i="2"/>
  <c r="F157" i="2"/>
  <c r="E157" i="2"/>
  <c r="G156" i="2"/>
  <c r="F156" i="2"/>
  <c r="E156" i="2"/>
  <c r="G155" i="2"/>
  <c r="F155" i="2"/>
  <c r="E155" i="2"/>
  <c r="G154" i="2"/>
  <c r="F154" i="2"/>
  <c r="E154" i="2"/>
  <c r="G153" i="2"/>
  <c r="F153" i="2"/>
  <c r="E153" i="2"/>
  <c r="G152" i="2"/>
  <c r="F152" i="2"/>
  <c r="E152" i="2"/>
  <c r="G151" i="2"/>
  <c r="F151" i="2"/>
  <c r="E151" i="2"/>
  <c r="G150" i="2"/>
  <c r="F150" i="2"/>
  <c r="E150" i="2"/>
  <c r="G149" i="2"/>
  <c r="F149" i="2"/>
  <c r="E149" i="2"/>
  <c r="G148" i="2"/>
  <c r="F148" i="2"/>
  <c r="E148" i="2"/>
  <c r="F147" i="2"/>
  <c r="E147" i="2"/>
  <c r="G146" i="2"/>
  <c r="F146" i="2"/>
  <c r="E146" i="2"/>
  <c r="G145" i="2"/>
  <c r="F145" i="2"/>
  <c r="E145" i="2"/>
  <c r="G144" i="2"/>
  <c r="F144" i="2"/>
  <c r="E144" i="2"/>
  <c r="G143" i="2"/>
  <c r="F143" i="2"/>
  <c r="E143" i="2"/>
  <c r="F142" i="2"/>
  <c r="E142" i="2"/>
  <c r="F141" i="2"/>
  <c r="E141" i="2"/>
  <c r="F140" i="2"/>
  <c r="E140" i="2"/>
  <c r="G139" i="2"/>
  <c r="F139" i="2"/>
  <c r="E139" i="2"/>
  <c r="G138" i="2"/>
  <c r="F138" i="2"/>
  <c r="E138" i="2"/>
  <c r="G137" i="2"/>
  <c r="F137" i="2"/>
  <c r="E137" i="2"/>
  <c r="G136" i="2"/>
  <c r="F136" i="2"/>
  <c r="E136" i="2"/>
  <c r="F135" i="2"/>
  <c r="E135" i="2"/>
  <c r="G134" i="2"/>
  <c r="F134" i="2"/>
  <c r="E134" i="2"/>
  <c r="G133" i="2"/>
  <c r="F133" i="2"/>
  <c r="E133" i="2"/>
  <c r="G132" i="2"/>
  <c r="F132" i="2"/>
  <c r="E132" i="2"/>
  <c r="G131" i="2"/>
  <c r="F131" i="2"/>
  <c r="E131" i="2"/>
  <c r="G130" i="2"/>
  <c r="F130" i="2"/>
  <c r="E130" i="2"/>
  <c r="G129" i="2"/>
  <c r="F129" i="2"/>
  <c r="E129" i="2"/>
  <c r="G128" i="2"/>
  <c r="F128" i="2"/>
  <c r="E128" i="2"/>
  <c r="G127" i="2"/>
  <c r="F127" i="2"/>
  <c r="E127" i="2"/>
  <c r="G126" i="2"/>
  <c r="F126" i="2"/>
  <c r="E126" i="2"/>
  <c r="G125" i="2"/>
  <c r="F125" i="2"/>
  <c r="E125" i="2"/>
  <c r="F124" i="2"/>
  <c r="E124" i="2"/>
  <c r="G123" i="2"/>
  <c r="F123" i="2"/>
  <c r="E123" i="2"/>
  <c r="G122" i="2"/>
  <c r="F122" i="2"/>
  <c r="E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  <c r="G115" i="2"/>
  <c r="F115" i="2"/>
  <c r="E115" i="2"/>
  <c r="F114" i="2"/>
  <c r="E114" i="2"/>
  <c r="G113" i="2"/>
  <c r="F113" i="2"/>
  <c r="E113" i="2"/>
  <c r="G112" i="2"/>
  <c r="F112" i="2"/>
  <c r="E112" i="2"/>
  <c r="G111" i="2"/>
  <c r="F111" i="2"/>
  <c r="E111" i="2"/>
  <c r="G110" i="2"/>
  <c r="F110" i="2"/>
  <c r="E110" i="2"/>
  <c r="G109" i="2"/>
  <c r="F109" i="2"/>
  <c r="E109" i="2"/>
  <c r="G108" i="2"/>
  <c r="F108" i="2"/>
  <c r="E108" i="2"/>
  <c r="G107" i="2"/>
  <c r="F107" i="2"/>
  <c r="E107" i="2"/>
  <c r="F106" i="2"/>
  <c r="E106" i="2"/>
  <c r="G105" i="2"/>
  <c r="F105" i="2"/>
  <c r="E105" i="2"/>
  <c r="G104" i="2"/>
  <c r="F104" i="2"/>
  <c r="E104" i="2"/>
  <c r="G103" i="2"/>
  <c r="F103" i="2"/>
  <c r="E103" i="2"/>
  <c r="G102" i="2"/>
  <c r="F102" i="2"/>
  <c r="E102" i="2"/>
  <c r="G101" i="2"/>
  <c r="F101" i="2"/>
  <c r="E101" i="2"/>
  <c r="G100" i="2"/>
  <c r="F100" i="2"/>
  <c r="E100" i="2"/>
  <c r="G99" i="2"/>
  <c r="F99" i="2"/>
  <c r="E99" i="2"/>
  <c r="G98" i="2"/>
  <c r="F98" i="2"/>
  <c r="E98" i="2"/>
  <c r="G97" i="2"/>
  <c r="F97" i="2"/>
  <c r="E97" i="2"/>
  <c r="G96" i="2"/>
  <c r="F96" i="2"/>
  <c r="E96" i="2"/>
  <c r="G95" i="2"/>
  <c r="F95" i="2"/>
  <c r="E95" i="2"/>
  <c r="G94" i="2"/>
  <c r="F94" i="2"/>
  <c r="E94" i="2"/>
  <c r="G93" i="2"/>
  <c r="F93" i="2"/>
  <c r="E93" i="2"/>
  <c r="G92" i="2"/>
  <c r="F92" i="2"/>
  <c r="E92" i="2"/>
  <c r="G91" i="2"/>
  <c r="F91" i="2"/>
  <c r="E91" i="2"/>
  <c r="G90" i="2"/>
  <c r="F90" i="2"/>
  <c r="E90" i="2"/>
  <c r="E89" i="2"/>
  <c r="G88" i="2"/>
  <c r="F88" i="2"/>
  <c r="E88" i="2"/>
  <c r="G87" i="2"/>
  <c r="F87" i="2"/>
  <c r="E87" i="2"/>
  <c r="G86" i="2"/>
  <c r="F86" i="2"/>
  <c r="E86" i="2"/>
  <c r="F85" i="2"/>
  <c r="E85" i="2"/>
  <c r="G84" i="2"/>
  <c r="F84" i="2"/>
  <c r="E84" i="2"/>
  <c r="G83" i="2"/>
  <c r="F83" i="2"/>
  <c r="E83" i="2"/>
  <c r="G82" i="2"/>
  <c r="F82" i="2"/>
  <c r="E82" i="2"/>
  <c r="G81" i="2"/>
  <c r="F81" i="2"/>
  <c r="E81" i="2"/>
  <c r="G80" i="2"/>
  <c r="F80" i="2"/>
  <c r="E80" i="2"/>
  <c r="G79" i="2"/>
  <c r="F79" i="2"/>
  <c r="E79" i="2"/>
  <c r="G78" i="2"/>
  <c r="F78" i="2"/>
  <c r="E78" i="2"/>
  <c r="F77" i="2"/>
  <c r="E77" i="2"/>
  <c r="E76" i="2"/>
  <c r="F75" i="2"/>
  <c r="E75" i="2"/>
  <c r="F74" i="2"/>
  <c r="E74" i="2"/>
  <c r="G73" i="2"/>
  <c r="F73" i="2"/>
  <c r="E73" i="2"/>
  <c r="F72" i="2"/>
  <c r="E72" i="2"/>
  <c r="G71" i="2"/>
  <c r="F71" i="2"/>
  <c r="E71" i="2"/>
  <c r="E70" i="2"/>
  <c r="E69" i="2"/>
  <c r="G68" i="2"/>
  <c r="F68" i="2"/>
  <c r="E68" i="2"/>
  <c r="G67" i="2"/>
  <c r="F67" i="2"/>
  <c r="E67" i="2"/>
  <c r="G66" i="2"/>
  <c r="F66" i="2"/>
  <c r="E66" i="2"/>
  <c r="E65" i="2"/>
  <c r="G64" i="2"/>
  <c r="F64" i="2"/>
  <c r="E64" i="2"/>
  <c r="G63" i="2"/>
  <c r="F63" i="2"/>
  <c r="E63" i="2"/>
  <c r="G62" i="2"/>
  <c r="F62" i="2"/>
  <c r="E62" i="2"/>
  <c r="G61" i="2"/>
  <c r="F61" i="2"/>
  <c r="E61" i="2"/>
  <c r="G60" i="2"/>
  <c r="F60" i="2"/>
  <c r="E60" i="2"/>
  <c r="G59" i="2"/>
  <c r="F59" i="2"/>
  <c r="E59" i="2"/>
  <c r="F58" i="2"/>
  <c r="E58" i="2"/>
  <c r="G57" i="2"/>
  <c r="F57" i="2"/>
  <c r="E57" i="2"/>
  <c r="G56" i="2"/>
  <c r="F56" i="2"/>
  <c r="E56" i="2"/>
  <c r="F55" i="2"/>
  <c r="E55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F44" i="2"/>
  <c r="E44" i="2"/>
  <c r="E43" i="2"/>
  <c r="G42" i="2"/>
  <c r="F42" i="2"/>
  <c r="E42" i="2"/>
  <c r="F41" i="2"/>
  <c r="E41" i="2"/>
  <c r="G40" i="2"/>
  <c r="F40" i="2"/>
  <c r="E40" i="2"/>
  <c r="F39" i="2"/>
  <c r="E39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F24" i="2"/>
  <c r="E24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F16" i="2"/>
  <c r="E16" i="2"/>
  <c r="F15" i="2"/>
  <c r="E15" i="2"/>
  <c r="G14" i="2"/>
  <c r="F14" i="2"/>
  <c r="E14" i="2"/>
  <c r="G13" i="2"/>
  <c r="F13" i="2"/>
  <c r="E13" i="2"/>
  <c r="G12" i="2"/>
  <c r="F12" i="2"/>
  <c r="E12" i="2"/>
  <c r="E11" i="2"/>
  <c r="G10" i="2"/>
  <c r="F10" i="2"/>
  <c r="E10" i="2"/>
  <c r="G9" i="2"/>
  <c r="F9" i="2"/>
  <c r="E9" i="2"/>
  <c r="E8" i="2"/>
  <c r="F7" i="2"/>
  <c r="E7" i="2"/>
  <c r="G6" i="2"/>
  <c r="F6" i="2"/>
  <c r="E6" i="2"/>
  <c r="G5" i="2"/>
  <c r="F5" i="2"/>
  <c r="E5" i="2"/>
  <c r="F4" i="2"/>
  <c r="E4" i="2"/>
  <c r="G3" i="2"/>
  <c r="F3" i="2"/>
  <c r="E3" i="2"/>
  <c r="G2" i="2"/>
  <c r="F2" i="2"/>
  <c r="E2" i="2"/>
</calcChain>
</file>

<file path=xl/sharedStrings.xml><?xml version="1.0" encoding="utf-8"?>
<sst xmlns="http://schemas.openxmlformats.org/spreadsheetml/2006/main" count="2906" uniqueCount="337">
  <si>
    <t>Cutoff</t>
  </si>
  <si>
    <t>Type</t>
  </si>
  <si>
    <t>type</t>
  </si>
  <si>
    <t>River</t>
  </si>
  <si>
    <t>Latitude</t>
  </si>
  <si>
    <t>Longitude</t>
  </si>
  <si>
    <t>Unnamed: 6</t>
  </si>
  <si>
    <t>angle alpha</t>
  </si>
  <si>
    <t>angle beta1 (upstream and cutoff)</t>
  </si>
  <si>
    <t>angle beta2 (upstream and abandoned)</t>
  </si>
  <si>
    <t>Neck</t>
  </si>
  <si>
    <t>Coco</t>
  </si>
  <si>
    <t>Chute</t>
  </si>
  <si>
    <t>Bermejo</t>
  </si>
  <si>
    <t>not a good trial</t>
  </si>
  <si>
    <t>Yellowstone</t>
  </si>
  <si>
    <t>White</t>
  </si>
  <si>
    <t>Red</t>
  </si>
  <si>
    <t>it looks like a neck cutoff triggered a chute cutoff here.</t>
  </si>
  <si>
    <t>Mask data stopped at 1992, cutoff occurred after 1995.</t>
  </si>
  <si>
    <t>Kansas</t>
  </si>
  <si>
    <t>We only have raw data in the box</t>
  </si>
  <si>
    <t>Indus</t>
  </si>
  <si>
    <t>Ramu</t>
  </si>
  <si>
    <t>Cagayan</t>
  </si>
  <si>
    <t>Kamundun</t>
  </si>
  <si>
    <t>Sebyar</t>
  </si>
  <si>
    <t>Mamberamo</t>
  </si>
  <si>
    <t>Raw data</t>
  </si>
  <si>
    <t>We only have data until 1992 in Mask.</t>
  </si>
  <si>
    <t>Tariku</t>
  </si>
  <si>
    <t>Fly</t>
  </si>
  <si>
    <t>Sepik</t>
  </si>
  <si>
    <t>The oxbow lake is not in the mask</t>
  </si>
  <si>
    <t>Hellwig</t>
  </si>
  <si>
    <t>Empty mask dataset</t>
  </si>
  <si>
    <t>Madre de Dios</t>
  </si>
  <si>
    <t>Vichada</t>
  </si>
  <si>
    <t>Putumayo</t>
  </si>
  <si>
    <t>Caqueta</t>
  </si>
  <si>
    <t>Jurua</t>
  </si>
  <si>
    <t>Did another angle measurement thus the figure is a bit differed.</t>
  </si>
  <si>
    <t>Ucayali</t>
  </si>
  <si>
    <t>Kinda weird cutoff</t>
  </si>
  <si>
    <t>Cutoff occurs before 1984.</t>
  </si>
  <si>
    <t>Envira</t>
  </si>
  <si>
    <t>Beni</t>
  </si>
  <si>
    <t>Purus</t>
  </si>
  <si>
    <t>Ucuyali</t>
  </si>
  <si>
    <t>Aguaytia</t>
  </si>
  <si>
    <t>Cushabatay</t>
  </si>
  <si>
    <t>Canal de Puinahua</t>
  </si>
  <si>
    <t>weird data</t>
  </si>
  <si>
    <t>Cushubatay</t>
  </si>
  <si>
    <t>Tigre</t>
  </si>
  <si>
    <t>Huallaga</t>
  </si>
  <si>
    <t>Morona</t>
  </si>
  <si>
    <t>Curaray</t>
  </si>
  <si>
    <t>Guaviare</t>
  </si>
  <si>
    <t>Ichilo</t>
  </si>
  <si>
    <t xml:space="preserve">I did not see the chute cutoff </t>
  </si>
  <si>
    <t>Chimore</t>
  </si>
  <si>
    <t>The range is out of the mask</t>
  </si>
  <si>
    <t>Mamore</t>
  </si>
  <si>
    <t>closest_river_slope（m/km）</t>
    <phoneticPr fontId="3" type="noConversion"/>
  </si>
  <si>
    <t>？</t>
    <phoneticPr fontId="3" type="noConversion"/>
  </si>
  <si>
    <t>c/o_year</t>
  </si>
  <si>
    <t>Curvature</t>
  </si>
  <si>
    <t>5_yr_avg</t>
  </si>
  <si>
    <t>10_yr_avg</t>
  </si>
  <si>
    <t>15_yr_avg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</si>
  <si>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</si>
  <si>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</si>
  <si>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</si>
  <si>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</si>
  <si>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</si>
  <si>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</si>
  <si>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</si>
  <si>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</si>
  <si>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</si>
  <si>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</si>
  <si>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</si>
  <si>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</si>
  <si>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</si>
  <si>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</si>
  <si>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</si>
  <si>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cutoff</t>
  </si>
  <si>
    <t>index</t>
  </si>
  <si>
    <t>width</t>
  </si>
  <si>
    <t>year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</si>
  <si>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</si>
  <si>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</si>
  <si>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</si>
  <si>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</si>
  <si>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</si>
  <si>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</si>
  <si>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</si>
  <si>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</si>
  <si>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</si>
  <si>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</si>
  <si>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</si>
  <si>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</si>
  <si>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</si>
  <si>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</si>
  <si>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</si>
  <si>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</si>
  <si>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year 32</t>
  </si>
  <si>
    <t>year 33</t>
  </si>
  <si>
    <t>year 34</t>
  </si>
  <si>
    <t>year 35</t>
  </si>
  <si>
    <t>year 36</t>
  </si>
  <si>
    <t>year 37</t>
  </si>
  <si>
    <t>year 38</t>
  </si>
  <si>
    <t>NDVI</t>
  </si>
  <si>
    <t>chute</t>
  </si>
  <si>
    <t>MNDWI</t>
  </si>
  <si>
    <t>MDNWI</t>
  </si>
  <si>
    <t>neck</t>
  </si>
  <si>
    <t>Abandoned Length</t>
  </si>
  <si>
    <t>Cutoff Length</t>
  </si>
  <si>
    <t>Length Ratio</t>
  </si>
  <si>
    <t>River width</t>
  </si>
  <si>
    <t>Cutoff L/W</t>
  </si>
  <si>
    <t>WSA 5 Year</t>
  </si>
  <si>
    <t>WSA 10 Year</t>
  </si>
  <si>
    <t>WSA year 1</t>
  </si>
  <si>
    <t>us_plugtype</t>
  </si>
  <si>
    <t>ds_plugtype</t>
  </si>
  <si>
    <t>us_yrs_disconnect</t>
  </si>
  <si>
    <t>ds_yrs_disconnect</t>
  </si>
  <si>
    <t>ab_upstream</t>
  </si>
  <si>
    <t>act_upstream</t>
  </si>
  <si>
    <t>ab_downstream</t>
  </si>
  <si>
    <t>act_downstream</t>
  </si>
  <si>
    <t>us_sed ratio</t>
  </si>
  <si>
    <t>ds_sed ratio</t>
  </si>
  <si>
    <t>ab_us_norm_sed</t>
  </si>
  <si>
    <t>act_us_norm_sed</t>
  </si>
  <si>
    <t>us_norm_total</t>
  </si>
  <si>
    <t>ab_ds_norm_sed</t>
  </si>
  <si>
    <t>act_ds_norm_sed</t>
  </si>
  <si>
    <t>ds_norm_total</t>
  </si>
  <si>
    <t>plug</t>
  </si>
  <si>
    <t>migration</t>
  </si>
  <si>
    <t>ND</t>
  </si>
  <si>
    <t/>
  </si>
  <si>
    <t>both</t>
  </si>
  <si>
    <t>Ucayali</t>
    <phoneticPr fontId="3" type="noConversion"/>
  </si>
  <si>
    <t>us area</t>
  </si>
  <si>
    <t>ds area</t>
  </si>
  <si>
    <t>Plug_bar_portion</t>
    <phoneticPr fontId="3" type="noConversion"/>
  </si>
  <si>
    <t>Normalized water surface</t>
    <phoneticPr fontId="3" type="noConversion"/>
  </si>
  <si>
    <t>Corresponding No. in Yuan's data</t>
    <phoneticPr fontId="3" type="noConversion"/>
  </si>
  <si>
    <t>Year</t>
    <phoneticPr fontId="3" type="noConversion"/>
  </si>
  <si>
    <t>should be case FID 317 (Transitional)</t>
    <phoneticPr fontId="3" type="noConversion"/>
  </si>
  <si>
    <t>Not founded,around cases: FID 499,510</t>
    <phoneticPr fontId="3" type="noConversion"/>
  </si>
  <si>
    <t>FID 201(Single)</t>
    <phoneticPr fontId="3" type="noConversion"/>
  </si>
  <si>
    <t>FID 248(Transitional)</t>
    <phoneticPr fontId="3" type="noConversion"/>
  </si>
  <si>
    <t>FID 56(Single)</t>
    <phoneticPr fontId="3" type="noConversion"/>
  </si>
  <si>
    <t>FID 356(Single)</t>
    <phoneticPr fontId="3" type="noConversion"/>
  </si>
  <si>
    <t>FID 275(Single)</t>
    <phoneticPr fontId="3" type="noConversion"/>
  </si>
  <si>
    <t>FID 44(Single)</t>
    <phoneticPr fontId="3" type="noConversion"/>
  </si>
  <si>
    <t>FID 45(Single) (Cutoff type: Uncertain)</t>
    <phoneticPr fontId="3" type="noConversion"/>
  </si>
  <si>
    <t>FID 194(Single)</t>
    <phoneticPr fontId="3" type="noConversion"/>
  </si>
  <si>
    <t>Not founded,no arounded case</t>
    <phoneticPr fontId="3" type="noConversion"/>
  </si>
  <si>
    <t>FID 320(Single) year2000</t>
    <phoneticPr fontId="3" type="noConversion"/>
  </si>
  <si>
    <t>FID1,2,3?(Transitional)</t>
    <phoneticPr fontId="3" type="noConversion"/>
  </si>
  <si>
    <t>FID 132(Single)</t>
    <phoneticPr fontId="3" type="noConversion"/>
  </si>
  <si>
    <t>FID 133(Single)</t>
    <phoneticPr fontId="3" type="noConversion"/>
  </si>
  <si>
    <t>FID 366(Single)</t>
    <phoneticPr fontId="3" type="noConversion"/>
  </si>
  <si>
    <t>Not founded, no arounded case</t>
    <phoneticPr fontId="3" type="noConversion"/>
  </si>
  <si>
    <t>FID 108(Single)</t>
    <phoneticPr fontId="3" type="noConversion"/>
  </si>
  <si>
    <t>FID 450(Transitional)</t>
    <phoneticPr fontId="3" type="noConversion"/>
  </si>
  <si>
    <t>FID 97(Chute there, close to the case)?</t>
    <phoneticPr fontId="3" type="noConversion"/>
  </si>
  <si>
    <t>FID 445(Transitional)</t>
    <phoneticPr fontId="3" type="noConversion"/>
  </si>
  <si>
    <t>FID 475(Single)</t>
    <phoneticPr fontId="3" type="noConversion"/>
  </si>
  <si>
    <t>FID 474(Single)</t>
    <phoneticPr fontId="3" type="noConversion"/>
  </si>
  <si>
    <t>FID 168(Single)</t>
    <phoneticPr fontId="3" type="noConversion"/>
  </si>
  <si>
    <t>FID 498(Transitional)</t>
    <phoneticPr fontId="3" type="noConversion"/>
  </si>
  <si>
    <t>FID 495(close to this case)</t>
    <phoneticPr fontId="3" type="noConversion"/>
  </si>
  <si>
    <t>FID 268(Single)</t>
    <phoneticPr fontId="3" type="noConversion"/>
  </si>
  <si>
    <t>Not sure!!!</t>
    <phoneticPr fontId="3" type="noConversion"/>
  </si>
  <si>
    <t>FID 208(Single)</t>
    <phoneticPr fontId="3" type="noConversion"/>
  </si>
  <si>
    <t>Not founded, FID 210 arounded (Chute)</t>
    <phoneticPr fontId="3" type="noConversion"/>
  </si>
  <si>
    <t>FID 421(Single)</t>
    <phoneticPr fontId="3" type="noConversion"/>
  </si>
  <si>
    <t>FID 423(Single)</t>
    <phoneticPr fontId="3" type="noConversion"/>
  </si>
  <si>
    <t>FID 485(Single)</t>
    <phoneticPr fontId="3" type="noConversion"/>
  </si>
  <si>
    <t>FID 308(Transitional)</t>
    <phoneticPr fontId="3" type="noConversion"/>
  </si>
  <si>
    <t>FID 164(Transitianal)</t>
    <phoneticPr fontId="3" type="noConversion"/>
  </si>
  <si>
    <t>FID 162(Transitional)</t>
    <phoneticPr fontId="3" type="noConversion"/>
  </si>
  <si>
    <t>Not founded, FID 274 arounded (2011)</t>
    <phoneticPr fontId="3" type="noConversion"/>
  </si>
  <si>
    <t>Not founded, FID 179 arounded (2016)</t>
    <phoneticPr fontId="3" type="noConversion"/>
  </si>
  <si>
    <t>FID 212(Single)</t>
    <phoneticPr fontId="3" type="noConversion"/>
  </si>
  <si>
    <t>FID 390(Single)</t>
    <phoneticPr fontId="3" type="noConversion"/>
  </si>
  <si>
    <t>Not founded, arounded possible one: FID 145（Transitional)</t>
    <phoneticPr fontId="3" type="noConversion"/>
  </si>
  <si>
    <t>FID 313(Transitional)</t>
    <phoneticPr fontId="3" type="noConversion"/>
  </si>
  <si>
    <t>FID 219,(Transitional), uncertain case</t>
    <phoneticPr fontId="3" type="noConversion"/>
  </si>
  <si>
    <t>FID 34（Single)</t>
    <phoneticPr fontId="3" type="noConversion"/>
  </si>
  <si>
    <t>Not founded, arounded case: FID 199, occurred 1988</t>
    <phoneticPr fontId="3" type="noConversion"/>
  </si>
  <si>
    <t>FID 188/187 (Transitional)</t>
    <phoneticPr fontId="3" type="noConversion"/>
  </si>
  <si>
    <t>needs further check</t>
    <phoneticPr fontId="3" type="noConversion"/>
  </si>
  <si>
    <t>FID 104(Transitional)</t>
    <phoneticPr fontId="3" type="noConversion"/>
  </si>
  <si>
    <t>In columbia, not recorded in Yuan's dataset</t>
  </si>
  <si>
    <t>In columbia, not recorded in Yuan's dataset</t>
    <phoneticPr fontId="3" type="noConversion"/>
  </si>
  <si>
    <t>Not founded, arounded case:FID 113, chute,2015</t>
    <phoneticPr fontId="3" type="noConversion"/>
  </si>
  <si>
    <t>FID 287(Single)</t>
    <phoneticPr fontId="3" type="noConversion"/>
  </si>
  <si>
    <t>Not founded, possibie case: FID 289, 288</t>
    <phoneticPr fontId="3" type="noConversion"/>
  </si>
  <si>
    <t>FID 288: NECK in 2004, FID 289： Chute in 2013</t>
    <phoneticPr fontId="3" type="noConversion"/>
  </si>
  <si>
    <t>FID 292(Single)</t>
    <phoneticPr fontId="3" type="noConversion"/>
  </si>
  <si>
    <t>FID 293(Single)</t>
    <phoneticPr fontId="3" type="noConversion"/>
  </si>
  <si>
    <t>FID 143(Transitional)</t>
    <phoneticPr fontId="3" type="noConversion"/>
  </si>
  <si>
    <t>FID 144(Transitional)</t>
    <phoneticPr fontId="3" type="noConversion"/>
  </si>
  <si>
    <t>FID 361(Single)</t>
    <phoneticPr fontId="3" type="noConversion"/>
  </si>
  <si>
    <t>FID 375(Single)</t>
    <phoneticPr fontId="3" type="noConversion"/>
  </si>
  <si>
    <t>FID 379(Single)</t>
    <phoneticPr fontId="3" type="noConversion"/>
  </si>
  <si>
    <t>FID 24(Single)</t>
    <phoneticPr fontId="3" type="noConversion"/>
  </si>
  <si>
    <t>FID 71(Single)</t>
    <phoneticPr fontId="3" type="noConversion"/>
  </si>
  <si>
    <t>FID 75(Single)</t>
    <phoneticPr fontId="3" type="noConversion"/>
  </si>
  <si>
    <t>FID 78(Single)</t>
    <phoneticPr fontId="3" type="noConversion"/>
  </si>
  <si>
    <t>FID 88(Single)</t>
    <phoneticPr fontId="3" type="noConversion"/>
  </si>
  <si>
    <t>FID 4(Single)</t>
    <phoneticPr fontId="3" type="noConversion"/>
  </si>
  <si>
    <t>FID 7(Single) CUTOFF: CHUTE</t>
    <phoneticPr fontId="3" type="noConversion"/>
  </si>
  <si>
    <t>FID 8(Single)</t>
    <phoneticPr fontId="3" type="noConversion"/>
  </si>
  <si>
    <t>FID 236(Single)</t>
    <phoneticPr fontId="3" type="noConversion"/>
  </si>
  <si>
    <t>FID 279(Transitional)</t>
    <phoneticPr fontId="3" type="noConversion"/>
  </si>
  <si>
    <t>FID 426(Single)</t>
    <phoneticPr fontId="3" type="noConversion"/>
  </si>
  <si>
    <t>FID 49(Single)</t>
    <phoneticPr fontId="3" type="noConversion"/>
  </si>
  <si>
    <t>FID 51(Single)</t>
    <phoneticPr fontId="3" type="noConversion"/>
  </si>
  <si>
    <t>FID 50(Single)</t>
    <phoneticPr fontId="3" type="noConversion"/>
  </si>
  <si>
    <t>year2007 in Yuan's data</t>
    <phoneticPr fontId="3" type="noConversion"/>
  </si>
  <si>
    <t>FID 430(Single)</t>
    <phoneticPr fontId="3" type="noConversion"/>
  </si>
  <si>
    <t>FID 517(Single)</t>
    <phoneticPr fontId="3" type="noConversion"/>
  </si>
  <si>
    <t>FID 192(Single)</t>
    <phoneticPr fontId="3" type="noConversion"/>
  </si>
  <si>
    <t>FID 324(Single)</t>
    <phoneticPr fontId="3" type="noConversion"/>
  </si>
  <si>
    <t>FID 26(Single)</t>
    <phoneticPr fontId="3" type="noConversion"/>
  </si>
  <si>
    <t>FID 30(Single)</t>
    <phoneticPr fontId="3" type="noConversion"/>
  </si>
  <si>
    <t>FID 29(Single)</t>
    <phoneticPr fontId="3" type="noConversion"/>
  </si>
  <si>
    <t>year 2003 in Yuan's data</t>
    <phoneticPr fontId="3" type="noConversion"/>
  </si>
  <si>
    <t>FID 67(Single)</t>
    <phoneticPr fontId="3" type="noConversion"/>
  </si>
  <si>
    <t>FID 68(Single)</t>
    <phoneticPr fontId="3" type="noConversion"/>
  </si>
  <si>
    <t>FID 126(Single)</t>
    <phoneticPr fontId="3" type="noConversion"/>
  </si>
  <si>
    <t>FID 349(Single)</t>
    <phoneticPr fontId="3" type="noConversion"/>
  </si>
  <si>
    <t>FID 351(Single)</t>
    <phoneticPr fontId="3" type="noConversion"/>
  </si>
  <si>
    <t>FID 233(Single)</t>
    <phoneticPr fontId="3" type="noConversion"/>
  </si>
  <si>
    <t>FID 337(Single)</t>
    <phoneticPr fontId="3" type="noConversion"/>
  </si>
  <si>
    <t>FID 128/338(Single)</t>
    <phoneticPr fontId="3" type="noConversion"/>
  </si>
  <si>
    <t>FID 129(Single)</t>
    <phoneticPr fontId="3" type="noConversion"/>
  </si>
  <si>
    <t>FID 130/478(Single)</t>
    <phoneticPr fontId="3" type="noConversion"/>
  </si>
  <si>
    <t>FID 479(Single)</t>
    <phoneticPr fontId="3" type="noConversion"/>
  </si>
  <si>
    <t>FID 480(Single)</t>
    <phoneticPr fontId="3" type="noConversion"/>
  </si>
  <si>
    <t>FID 481(Single)</t>
    <phoneticPr fontId="3" type="noConversion"/>
  </si>
  <si>
    <t>FID 11(Single)</t>
    <phoneticPr fontId="3" type="noConversion"/>
  </si>
  <si>
    <t>FID 13(Single)</t>
    <phoneticPr fontId="3" type="noConversion"/>
  </si>
  <si>
    <t>FID 14(Single)</t>
    <phoneticPr fontId="3" type="noConversion"/>
  </si>
  <si>
    <t>FID 136(Single)</t>
    <phoneticPr fontId="3" type="noConversion"/>
  </si>
  <si>
    <t>FID 491(Single)</t>
    <phoneticPr fontId="3" type="noConversion"/>
  </si>
  <si>
    <t>FID 440(Single)</t>
    <phoneticPr fontId="3" type="noConversion"/>
  </si>
  <si>
    <t>Not founded, FID 334 arounded(Chute in 2015)</t>
    <phoneticPr fontId="3" type="noConversion"/>
  </si>
  <si>
    <t>FID 336(Single)</t>
    <phoneticPr fontId="3" type="noConversion"/>
  </si>
  <si>
    <t>FID 389(Single)</t>
    <phoneticPr fontId="3" type="noConversion"/>
  </si>
  <si>
    <t>FID 118(Single)</t>
    <phoneticPr fontId="3" type="noConversion"/>
  </si>
  <si>
    <t>Not founded, FID 122 arounded(Neck in 2007)</t>
    <phoneticPr fontId="3" type="noConversion"/>
  </si>
  <si>
    <t>FID 120(Single)</t>
    <phoneticPr fontId="3" type="noConversion"/>
  </si>
  <si>
    <t>FID 486(Single)</t>
    <phoneticPr fontId="3" type="noConversion"/>
  </si>
  <si>
    <t>FID 427(Single)</t>
    <phoneticPr fontId="3" type="noConversion"/>
  </si>
  <si>
    <t>FID 428(Single)</t>
    <phoneticPr fontId="3" type="noConversion"/>
  </si>
  <si>
    <t>FID 477(Single)</t>
    <phoneticPr fontId="3" type="noConversion"/>
  </si>
  <si>
    <t>FID 363(Single)</t>
    <phoneticPr fontId="3" type="noConversion"/>
  </si>
  <si>
    <t>FID 102(Single)</t>
    <phoneticPr fontId="3" type="noConversion"/>
  </si>
  <si>
    <t>FID 96(Single)</t>
    <phoneticPr fontId="3" type="noConversion"/>
  </si>
  <si>
    <t>FID 319(Single)</t>
    <phoneticPr fontId="3" type="noConversion"/>
  </si>
  <si>
    <t>FID 237(Single)</t>
    <phoneticPr fontId="3" type="noConversion"/>
  </si>
  <si>
    <t>FID 235(Single)</t>
    <phoneticPr fontId="3" type="noConversion"/>
  </si>
  <si>
    <t>FID 387(Single)</t>
    <phoneticPr fontId="3" type="noConversion"/>
  </si>
  <si>
    <t>FID 355(Single)</t>
    <phoneticPr fontId="3" type="noConversion"/>
  </si>
  <si>
    <t>FID 217(Single)</t>
    <phoneticPr fontId="3" type="noConversion"/>
  </si>
  <si>
    <t>FID 215(Single)</t>
    <phoneticPr fontId="3" type="noConversion"/>
  </si>
  <si>
    <t>Occurred in 1986 in Yuan's data</t>
    <phoneticPr fontId="3" type="noConversion"/>
  </si>
  <si>
    <t>FID 277(Single), Neck case</t>
    <phoneticPr fontId="3" type="noConversion"/>
  </si>
  <si>
    <t>In NA</t>
    <phoneticPr fontId="3" type="noConversion"/>
  </si>
  <si>
    <t>Not in South America</t>
    <phoneticPr fontId="3" type="noConversion"/>
  </si>
  <si>
    <t>FID 341(Single)</t>
    <phoneticPr fontId="3" type="noConversion"/>
  </si>
  <si>
    <t>Dylan</t>
    <phoneticPr fontId="3" type="noConversion"/>
  </si>
  <si>
    <t>Chute</t>
    <phoneticPr fontId="3" type="noConversion"/>
  </si>
  <si>
    <t>neck</t>
    <phoneticPr fontId="3" type="noConversion"/>
  </si>
  <si>
    <t>total</t>
    <phoneticPr fontId="3" type="noConversion"/>
  </si>
  <si>
    <t>Uncertain</t>
    <phoneticPr fontId="3" type="noConversion"/>
  </si>
  <si>
    <t>Not in Amazon</t>
    <phoneticPr fontId="3" type="noConversion"/>
  </si>
  <si>
    <t>Occurred in 1984</t>
    <phoneticPr fontId="3" type="noConversion"/>
  </si>
  <si>
    <t>Width &lt; 200 in Yuan's</t>
    <phoneticPr fontId="3" type="noConversion"/>
  </si>
  <si>
    <t>Transitional cases</t>
    <phoneticPr fontId="3" type="noConversion"/>
  </si>
  <si>
    <t>In both Yuan and Dylan's dataset</t>
    <phoneticPr fontId="3" type="noConversion"/>
  </si>
  <si>
    <t>Yuan's Single thread cases</t>
    <phoneticPr fontId="3" type="noConversion"/>
  </si>
  <si>
    <t>Further work contains Pyris</t>
    <phoneticPr fontId="3" type="noConversion"/>
  </si>
  <si>
    <t>La/W</t>
    <phoneticPr fontId="3" type="noConversion"/>
  </si>
  <si>
    <t>Plug bar</t>
    <phoneticPr fontId="3" type="noConversion"/>
  </si>
  <si>
    <t>Taken by migration…?</t>
    <phoneticPr fontId="3" type="noConversion"/>
  </si>
  <si>
    <t>There is no scroll bar.</t>
    <phoneticPr fontId="3" type="noConversion"/>
  </si>
  <si>
    <t>Downstream plug bar--scroll bar--No upstream bar</t>
    <phoneticPr fontId="3" type="noConversion"/>
  </si>
  <si>
    <t>Hard to distinguish</t>
    <phoneticPr fontId="3" type="noConversion"/>
  </si>
  <si>
    <t>Upstream/downstream plug bar--scroll bar</t>
    <phoneticPr fontId="3" type="noConversion"/>
  </si>
  <si>
    <t>Upstream plug bar</t>
    <phoneticPr fontId="3" type="noConversion"/>
  </si>
  <si>
    <t>Lack of data. Mostly there is no migration.</t>
    <phoneticPr fontId="3" type="noConversion"/>
  </si>
  <si>
    <t>what?</t>
    <phoneticPr fontId="3" type="noConversion"/>
  </si>
  <si>
    <t>Upstream and downstream plug bar</t>
    <phoneticPr fontId="3" type="noConversion"/>
  </si>
  <si>
    <t>No migration. Quite sure it is done by plug bar</t>
    <phoneticPr fontId="3" type="noConversion"/>
  </si>
  <si>
    <t>Downstream plug bar-no upstream plug bar</t>
    <phoneticPr fontId="3" type="noConversion"/>
  </si>
  <si>
    <t>migration is dramatic. The channel turns back though.</t>
    <phoneticPr fontId="3" type="noConversion"/>
  </si>
  <si>
    <t>plug bar--migration then</t>
    <phoneticPr fontId="3" type="noConversion"/>
  </si>
  <si>
    <t>Lack of data, but the strong tie channel indicates that the migration can not finish the abandonment itself.</t>
    <phoneticPr fontId="3" type="noConversion"/>
  </si>
  <si>
    <t>Lack of data, the plug bar is obvious.</t>
    <phoneticPr fontId="3" type="noConversion"/>
  </si>
  <si>
    <t>Lack of data, migration is not obvious before the formation of plug bar.</t>
    <phoneticPr fontId="3" type="noConversion"/>
  </si>
  <si>
    <t>upstream plug bar</t>
    <phoneticPr fontId="3" type="noConversion"/>
  </si>
  <si>
    <t>Lack of data</t>
    <phoneticPr fontId="3" type="noConversion"/>
  </si>
  <si>
    <t>Downstream plug bar</t>
    <phoneticPr fontId="3" type="noConversion"/>
  </si>
  <si>
    <t>Upstream plug bar and then downstream plug bar. The channel almost do not migrate</t>
    <phoneticPr fontId="3" type="noConversion"/>
  </si>
  <si>
    <t>plug bar and then scroll bar. Channel migrates.</t>
    <phoneticPr fontId="3" type="noConversion"/>
  </si>
  <si>
    <t>Plug bar.The channel does not migrates at least before the migration finish</t>
    <phoneticPr fontId="3" type="noConversion"/>
  </si>
  <si>
    <t>The channel did not move away so it has to be plug bar.</t>
    <phoneticPr fontId="3" type="noConversion"/>
  </si>
  <si>
    <t>abandonment</t>
    <phoneticPr fontId="3" type="noConversion"/>
  </si>
  <si>
    <t>Plug bar and then migration.</t>
    <phoneticPr fontId="3" type="noConversion"/>
  </si>
  <si>
    <t>Plug bar, the channel widening and migrates back to the oxbow lake.</t>
    <phoneticPr fontId="3" type="noConversion"/>
  </si>
  <si>
    <t>Plug bar, the channel did not migrate away, no scroll bar.</t>
    <phoneticPr fontId="3" type="noConversion"/>
  </si>
  <si>
    <t>The image did not show some significant informations.</t>
    <phoneticPr fontId="3" type="noConversion"/>
  </si>
  <si>
    <t>Scroll bar? Yes</t>
    <phoneticPr fontId="3" type="noConversion"/>
  </si>
  <si>
    <t>Scroll bar year</t>
    <phoneticPr fontId="3" type="noConversion"/>
  </si>
  <si>
    <t>NaN</t>
    <phoneticPr fontId="3" type="noConversion"/>
  </si>
  <si>
    <t>lack of data</t>
    <phoneticPr fontId="3" type="noConversion"/>
  </si>
  <si>
    <t>The scroll bar shows up with the upstream and downstream plug bars.</t>
    <phoneticPr fontId="3" type="noConversion"/>
  </si>
  <si>
    <t>main channel is kinda braided.</t>
    <phoneticPr fontId="3" type="noConversion"/>
  </si>
  <si>
    <t>example of a case without scroll bar!!</t>
    <phoneticPr fontId="3" type="noConversion"/>
  </si>
  <si>
    <t>example of the existence of tie channel delaying the scroll bar formation</t>
    <phoneticPr fontId="3" type="noConversion"/>
  </si>
  <si>
    <t>example of migration is not helpful on abandonment</t>
    <phoneticPr fontId="3" type="noConversion"/>
  </si>
  <si>
    <t>Fantastic example that should be on the slides</t>
    <phoneticPr fontId="3" type="noConversion"/>
  </si>
  <si>
    <t>example that the scroll bar coexisted with tie channel</t>
    <phoneticPr fontId="3" type="noConversion"/>
  </si>
  <si>
    <t>an example deserves further observation!!</t>
    <phoneticPr fontId="3" type="noConversion"/>
  </si>
  <si>
    <t>a case which shows that the elongation of channel rather than the scroll bar can abandon the whole channel if the bifurcation dynamic is strong enough!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</si>
</sst>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color rgb="FF000000"/>
      <name val="Segoe UI"/>
      <family val="2"/>
    </font>
    <font>
      <sz val="9"/>
      <name val="宋体"/>
      <family val="3"/>
      <charset val="134"/>
      <scheme val="minor"/>
    </font>
    <font>
      <sz val="9"/>
      <color rgb="FFFF0000"/>
      <name val="Segoe UI"/>
      <family val="2"/>
    </font>
    <font>
      <sz val="11"/>
      <color rgb="FFFF0000"/>
      <name val="宋体"/>
      <family val="2"/>
      <scheme val="minor"/>
    </font>
    <font>
      <b/>
      <sz val="11"/>
      <name val="Calibri"/>
      <family val="2"/>
    </font>
    <font>
      <b/>
      <sz val="11"/>
      <color theme="1"/>
      <name val="宋体"/>
      <family val="2"/>
      <scheme val="minor"/>
    </font>
    <font>
      <sz val="11"/>
      <name val="宋体"/>
      <family val="2"/>
      <scheme val="minor"/>
    </font>
    <font>
      <sz val="11"/>
      <color rgb="FFFFFF00"/>
      <name val="宋体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BCBCB"/>
      </left>
      <right style="medium">
        <color rgb="FFCBCBCB"/>
      </right>
      <top style="medium">
        <color rgb="FFCBCBCB"/>
      </top>
      <bottom style="medium">
        <color rgb="FFCBCBCB"/>
      </bottom>
      <diagonal/>
    </border>
    <border>
      <left style="medium">
        <color rgb="FFCBCBCB"/>
      </left>
      <right style="medium">
        <color rgb="FFCBCBCB"/>
      </right>
      <top/>
      <bottom/>
      <diagonal/>
    </border>
    <border>
      <left/>
      <right style="medium">
        <color rgb="FFCBCBCB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vertical="center" wrapText="1"/>
    </xf>
    <xf numFmtId="0" fontId="2" fillId="0" borderId="0" xfId="0" applyFont="1"/>
    <xf numFmtId="0" fontId="2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3" borderId="0" xfId="0" applyFont="1" applyFill="1"/>
    <xf numFmtId="0" fontId="4" fillId="3" borderId="0" xfId="0" applyFont="1" applyFill="1"/>
    <xf numFmtId="0" fontId="2" fillId="2" borderId="4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0" fillId="0" borderId="11" xfId="0" applyBorder="1" applyAlignment="1">
      <alignment horizont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4" borderId="0" xfId="0" applyFill="1"/>
    <xf numFmtId="0" fontId="0" fillId="3" borderId="0" xfId="0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5" borderId="0" xfId="0" applyFill="1"/>
    <xf numFmtId="0" fontId="0" fillId="6" borderId="0" xfId="0" applyFill="1"/>
    <xf numFmtId="0" fontId="8" fillId="5" borderId="0" xfId="0" applyFont="1" applyFill="1"/>
    <xf numFmtId="0" fontId="0" fillId="7" borderId="0" xfId="0" applyFill="1"/>
    <xf numFmtId="0" fontId="0" fillId="0" borderId="19" xfId="0" applyBorder="1"/>
    <xf numFmtId="0" fontId="0" fillId="8" borderId="0" xfId="0" applyFill="1"/>
    <xf numFmtId="0" fontId="0" fillId="9" borderId="0" xfId="0" applyFill="1"/>
    <xf numFmtId="0" fontId="7" fillId="0" borderId="20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7" fillId="0" borderId="20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2" fontId="0" fillId="0" borderId="0" xfId="0" applyNumberFormat="1"/>
    <xf numFmtId="0" fontId="0" fillId="0" borderId="11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2" fontId="0" fillId="0" borderId="19" xfId="0" applyNumberFormat="1" applyBorder="1"/>
    <xf numFmtId="0" fontId="7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0" fillId="11" borderId="1" xfId="0" applyFill="1" applyBorder="1"/>
    <xf numFmtId="0" fontId="8" fillId="11" borderId="1" xfId="0" applyFont="1" applyFill="1" applyBorder="1"/>
    <xf numFmtId="0" fontId="0" fillId="0" borderId="1" xfId="0" applyBorder="1" applyAlignment="1">
      <alignment wrapText="1"/>
    </xf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9" fillId="5" borderId="1" xfId="0" applyFont="1" applyFill="1" applyBorder="1"/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8" borderId="1" xfId="0" applyFill="1" applyBorder="1"/>
    <xf numFmtId="0" fontId="8" fillId="3" borderId="1" xfId="0" applyFont="1" applyFill="1" applyBorder="1"/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6676165185217074E-2"/>
          <c:y val="0.17592599005759335"/>
          <c:w val="0.95228409376910073"/>
          <c:h val="0.73577136191309422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[1]NDVI_norm_pixelcount!$E$1:$AP$1</c:f>
              <c:numCache>
                <c:formatCode>General</c:formatCode>
                <c:ptCount val="3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</c:numCache>
            </c:numRef>
          </c:xVal>
          <c:yVal>
            <c:numRef>
              <c:f>'[1]merged &amp; edited'!$F$31:$AQ$31</c:f>
              <c:numCache>
                <c:formatCode>General</c:formatCode>
                <c:ptCount val="38"/>
                <c:pt idx="0">
                  <c:v>1</c:v>
                </c:pt>
                <c:pt idx="1">
                  <c:v>0.97765363100000002</c:v>
                </c:pt>
                <c:pt idx="2">
                  <c:v>0.98696461800000002</c:v>
                </c:pt>
                <c:pt idx="3">
                  <c:v>0.98137802600000001</c:v>
                </c:pt>
                <c:pt idx="4">
                  <c:v>0.98137802600000001</c:v>
                </c:pt>
                <c:pt idx="5">
                  <c:v>0.96834264400000003</c:v>
                </c:pt>
                <c:pt idx="6">
                  <c:v>0.94227188100000003</c:v>
                </c:pt>
                <c:pt idx="7">
                  <c:v>0.93854748600000004</c:v>
                </c:pt>
                <c:pt idx="9">
                  <c:v>0.84171322199999998</c:v>
                </c:pt>
                <c:pt idx="10">
                  <c:v>0.84357541899999999</c:v>
                </c:pt>
                <c:pt idx="11">
                  <c:v>0.88454376199999996</c:v>
                </c:pt>
                <c:pt idx="12">
                  <c:v>0.83798882699999999</c:v>
                </c:pt>
                <c:pt idx="13">
                  <c:v>0.834264432</c:v>
                </c:pt>
                <c:pt idx="14">
                  <c:v>0.85661080099999998</c:v>
                </c:pt>
                <c:pt idx="15">
                  <c:v>0.79515828700000002</c:v>
                </c:pt>
                <c:pt idx="16">
                  <c:v>0.78026070800000003</c:v>
                </c:pt>
                <c:pt idx="17">
                  <c:v>0.82122905000000002</c:v>
                </c:pt>
                <c:pt idx="18">
                  <c:v>0.82495344500000001</c:v>
                </c:pt>
                <c:pt idx="19">
                  <c:v>0.73370577299999995</c:v>
                </c:pt>
                <c:pt idx="20">
                  <c:v>0.72998137799999996</c:v>
                </c:pt>
                <c:pt idx="21">
                  <c:v>0.68528864099999998</c:v>
                </c:pt>
                <c:pt idx="22">
                  <c:v>0.72625698299999997</c:v>
                </c:pt>
                <c:pt idx="23">
                  <c:v>0.679702048</c:v>
                </c:pt>
                <c:pt idx="24">
                  <c:v>0.73556796999999996</c:v>
                </c:pt>
                <c:pt idx="25">
                  <c:v>0.70018621999999997</c:v>
                </c:pt>
                <c:pt idx="26">
                  <c:v>0.63500931100000002</c:v>
                </c:pt>
                <c:pt idx="27">
                  <c:v>0.60707635000000004</c:v>
                </c:pt>
                <c:pt idx="28">
                  <c:v>0.72439478599999996</c:v>
                </c:pt>
                <c:pt idx="29">
                  <c:v>0.61452514000000003</c:v>
                </c:pt>
                <c:pt idx="30">
                  <c:v>0.54748603399999995</c:v>
                </c:pt>
                <c:pt idx="31">
                  <c:v>0.51396648</c:v>
                </c:pt>
                <c:pt idx="32">
                  <c:v>0.52513966499999998</c:v>
                </c:pt>
                <c:pt idx="33">
                  <c:v>0.502793296</c:v>
                </c:pt>
                <c:pt idx="34">
                  <c:v>0.61638733700000004</c:v>
                </c:pt>
                <c:pt idx="35">
                  <c:v>0.47113593999999998</c:v>
                </c:pt>
                <c:pt idx="36">
                  <c:v>0.41899441300000001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A6-40CE-B333-D12977CD1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9423168"/>
        <c:axId val="1559422208"/>
      </c:scatterChart>
      <c:valAx>
        <c:axId val="155942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22208"/>
        <c:crosses val="autoZero"/>
        <c:crossBetween val="midCat"/>
      </c:valAx>
      <c:valAx>
        <c:axId val="155942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42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576241</xdr:colOff>
      <xdr:row>12</xdr:row>
      <xdr:rowOff>54949</xdr:rowOff>
    </xdr:from>
    <xdr:to>
      <xdr:col>26</xdr:col>
      <xdr:colOff>167935</xdr:colOff>
      <xdr:row>26</xdr:row>
      <xdr:rowOff>131148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800CDE-D986-4FC3-A69A-A452B7AE7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25964;&#19994;1\Downloads\NDVI_norm_pixelcount_VERIFY.xlsx" TargetMode="External"/><Relationship Id="rId1" Type="http://schemas.openxmlformats.org/officeDocument/2006/relationships/externalLinkPath" Target="file:///C:\Users\&#25964;&#19994;1\Downloads\NDVI_norm_pixelcount_VERIF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rged &amp; edited"/>
      <sheetName val="NDVI_norm_pixelcount"/>
      <sheetName val="notes"/>
    </sheetNames>
    <sheetDataSet>
      <sheetData sheetId="0">
        <row r="31">
          <cell r="F31">
            <v>1</v>
          </cell>
          <cell r="G31">
            <v>0.97765363100000002</v>
          </cell>
          <cell r="H31">
            <v>0.98696461800000002</v>
          </cell>
          <cell r="I31">
            <v>0.98137802600000001</v>
          </cell>
          <cell r="J31">
            <v>0.98137802600000001</v>
          </cell>
          <cell r="K31">
            <v>0.96834264400000003</v>
          </cell>
          <cell r="L31">
            <v>0.94227188100000003</v>
          </cell>
          <cell r="M31">
            <v>0.93854748600000004</v>
          </cell>
          <cell r="O31">
            <v>0.84171322199999998</v>
          </cell>
          <cell r="P31">
            <v>0.84357541899999999</v>
          </cell>
          <cell r="Q31">
            <v>0.88454376199999996</v>
          </cell>
          <cell r="R31">
            <v>0.83798882699999999</v>
          </cell>
          <cell r="S31">
            <v>0.834264432</v>
          </cell>
          <cell r="T31">
            <v>0.85661080099999998</v>
          </cell>
          <cell r="U31">
            <v>0.79515828700000002</v>
          </cell>
          <cell r="V31">
            <v>0.78026070800000003</v>
          </cell>
          <cell r="W31">
            <v>0.82122905000000002</v>
          </cell>
          <cell r="X31">
            <v>0.82495344500000001</v>
          </cell>
          <cell r="Y31">
            <v>0.73370577299999995</v>
          </cell>
          <cell r="Z31">
            <v>0.72998137799999996</v>
          </cell>
          <cell r="AA31">
            <v>0.68528864099999998</v>
          </cell>
          <cell r="AB31">
            <v>0.72625698299999997</v>
          </cell>
          <cell r="AC31">
            <v>0.679702048</v>
          </cell>
          <cell r="AD31">
            <v>0.73556796999999996</v>
          </cell>
          <cell r="AE31">
            <v>0.70018621999999997</v>
          </cell>
          <cell r="AF31">
            <v>0.63500931100000002</v>
          </cell>
          <cell r="AG31">
            <v>0.60707635000000004</v>
          </cell>
          <cell r="AH31">
            <v>0.72439478599999996</v>
          </cell>
          <cell r="AI31">
            <v>0.61452514000000003</v>
          </cell>
          <cell r="AJ31">
            <v>0.54748603399999995</v>
          </cell>
          <cell r="AK31">
            <v>0.51396648</v>
          </cell>
          <cell r="AL31">
            <v>0.52513966499999998</v>
          </cell>
          <cell r="AM31">
            <v>0.502793296</v>
          </cell>
          <cell r="AN31">
            <v>0.61638733700000004</v>
          </cell>
          <cell r="AO31">
            <v>0.47113593999999998</v>
          </cell>
          <cell r="AP31">
            <v>0.41899441300000001</v>
          </cell>
        </row>
      </sheetData>
      <sheetData sheetId="1">
        <row r="1">
          <cell r="E1">
            <v>1</v>
          </cell>
          <cell r="F1">
            <v>2</v>
          </cell>
          <cell r="G1">
            <v>3</v>
          </cell>
          <cell r="H1">
            <v>4</v>
          </cell>
          <cell r="I1">
            <v>5</v>
          </cell>
          <cell r="J1">
            <v>6</v>
          </cell>
          <cell r="K1">
            <v>7</v>
          </cell>
          <cell r="L1">
            <v>8</v>
          </cell>
          <cell r="M1">
            <v>9</v>
          </cell>
          <cell r="N1">
            <v>10</v>
          </cell>
          <cell r="O1">
            <v>11</v>
          </cell>
          <cell r="P1">
            <v>12</v>
          </cell>
          <cell r="Q1">
            <v>13</v>
          </cell>
          <cell r="R1">
            <v>14</v>
          </cell>
          <cell r="S1">
            <v>15</v>
          </cell>
          <cell r="T1">
            <v>16</v>
          </cell>
          <cell r="U1">
            <v>17</v>
          </cell>
          <cell r="V1">
            <v>18</v>
          </cell>
          <cell r="W1">
            <v>19</v>
          </cell>
          <cell r="X1">
            <v>20</v>
          </cell>
          <cell r="Y1">
            <v>21</v>
          </cell>
          <cell r="Z1">
            <v>22</v>
          </cell>
          <cell r="AA1">
            <v>23</v>
          </cell>
          <cell r="AB1">
            <v>24</v>
          </cell>
          <cell r="AC1">
            <v>25</v>
          </cell>
          <cell r="AD1">
            <v>26</v>
          </cell>
          <cell r="AE1">
            <v>27</v>
          </cell>
          <cell r="AF1">
            <v>28</v>
          </cell>
          <cell r="AG1">
            <v>29</v>
          </cell>
          <cell r="AH1">
            <v>30</v>
          </cell>
          <cell r="AI1">
            <v>31</v>
          </cell>
          <cell r="AJ1">
            <v>32</v>
          </cell>
          <cell r="AK1">
            <v>33</v>
          </cell>
          <cell r="AL1">
            <v>34</v>
          </cell>
          <cell r="AM1">
            <v>35</v>
          </cell>
          <cell r="AN1">
            <v>36</v>
          </cell>
          <cell r="AO1">
            <v>37</v>
          </cell>
          <cell r="AP1">
            <v>38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"/>
  <sheetViews>
    <sheetView workbookViewId="0">
      <selection activeCell="E2" sqref="E2:F2"/>
    </sheetView>
  </sheetViews>
  <sheetFormatPr defaultRowHeight="13.5"/>
  <cols>
    <col min="8" max="8" width="22.25" customWidth="1"/>
    <col min="10" max="10" width="38.5" customWidth="1"/>
    <col min="11" max="11" width="21.125" customWidth="1"/>
    <col min="12" max="12" width="43.875" customWidth="1"/>
    <col min="14" max="14" width="18.75" customWidth="1"/>
    <col min="15" max="15" width="25.625" customWidth="1"/>
  </cols>
  <sheetData>
    <row r="1" spans="1:16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/>
      <c r="L1" s="1" t="s">
        <v>9</v>
      </c>
      <c r="M1" s="1"/>
      <c r="N1" s="1"/>
      <c r="O1" s="1" t="s">
        <v>64</v>
      </c>
      <c r="P1" s="1"/>
    </row>
    <row r="2" spans="1:16" ht="14.25" thickBot="1">
      <c r="A2">
        <v>12</v>
      </c>
      <c r="B2" t="s">
        <v>10</v>
      </c>
      <c r="C2">
        <v>1</v>
      </c>
      <c r="D2" t="s">
        <v>11</v>
      </c>
      <c r="E2">
        <v>14.8024</v>
      </c>
      <c r="F2">
        <v>-83.797899999999998</v>
      </c>
      <c r="H2">
        <v>96.34</v>
      </c>
      <c r="J2">
        <f t="shared" ref="J2:J13" si="0">ABS(H2-L2)</f>
        <v>86.450000000000017</v>
      </c>
      <c r="K2">
        <v>170.11</v>
      </c>
      <c r="L2">
        <f t="shared" ref="L2:L13" si="1">180-K2</f>
        <v>9.8899999999999864</v>
      </c>
      <c r="O2" s="2">
        <v>0.185115</v>
      </c>
    </row>
    <row r="3" spans="1:16" ht="14.25" thickBot="1">
      <c r="A3">
        <v>15</v>
      </c>
      <c r="B3" t="s">
        <v>12</v>
      </c>
      <c r="C3">
        <v>0</v>
      </c>
      <c r="D3" t="s">
        <v>11</v>
      </c>
      <c r="E3">
        <v>14.7577</v>
      </c>
      <c r="F3">
        <v>-83.914199999999994</v>
      </c>
      <c r="H3">
        <v>81.03</v>
      </c>
      <c r="J3">
        <f t="shared" si="0"/>
        <v>13.75</v>
      </c>
      <c r="K3">
        <v>112.72</v>
      </c>
      <c r="L3">
        <f t="shared" si="1"/>
        <v>67.28</v>
      </c>
      <c r="O3" s="2">
        <v>0.244008</v>
      </c>
    </row>
    <row r="4" spans="1:16" ht="15" thickBot="1">
      <c r="A4">
        <v>42</v>
      </c>
      <c r="B4" t="s">
        <v>10</v>
      </c>
      <c r="C4">
        <v>1</v>
      </c>
      <c r="D4" t="s">
        <v>13</v>
      </c>
      <c r="E4">
        <v>-25.781400000000001</v>
      </c>
      <c r="F4">
        <v>-59.921100000000003</v>
      </c>
      <c r="H4">
        <v>113.2</v>
      </c>
      <c r="J4">
        <f t="shared" si="0"/>
        <v>1.4000000000000057</v>
      </c>
      <c r="K4">
        <v>68.2</v>
      </c>
      <c r="L4">
        <f t="shared" si="1"/>
        <v>111.8</v>
      </c>
      <c r="O4" s="3">
        <v>7.2030999999999998E-2</v>
      </c>
    </row>
    <row r="5" spans="1:16" ht="14.25" thickBot="1">
      <c r="A5">
        <v>44</v>
      </c>
      <c r="B5" t="s">
        <v>12</v>
      </c>
      <c r="C5">
        <v>0</v>
      </c>
      <c r="D5" t="s">
        <v>13</v>
      </c>
      <c r="E5">
        <v>-25.848500000000001</v>
      </c>
      <c r="F5">
        <v>-59.871200000000002</v>
      </c>
      <c r="H5">
        <v>60.4</v>
      </c>
      <c r="J5">
        <f t="shared" si="0"/>
        <v>22.529999999999994</v>
      </c>
      <c r="K5">
        <v>142.13</v>
      </c>
      <c r="L5">
        <f t="shared" si="1"/>
        <v>37.870000000000005</v>
      </c>
      <c r="N5" t="s">
        <v>14</v>
      </c>
      <c r="O5" s="2">
        <v>0.15721499999999999</v>
      </c>
    </row>
    <row r="6" spans="1:16" ht="14.25" thickBot="1">
      <c r="A6">
        <v>45</v>
      </c>
      <c r="B6" t="s">
        <v>10</v>
      </c>
      <c r="C6">
        <v>1</v>
      </c>
      <c r="D6" t="s">
        <v>13</v>
      </c>
      <c r="E6">
        <v>-25.7714</v>
      </c>
      <c r="F6">
        <v>-59.941000000000003</v>
      </c>
      <c r="H6">
        <v>80.84</v>
      </c>
      <c r="J6">
        <f t="shared" si="0"/>
        <v>62.41</v>
      </c>
      <c r="K6">
        <v>161.57</v>
      </c>
      <c r="L6">
        <f t="shared" si="1"/>
        <v>18.430000000000007</v>
      </c>
      <c r="O6" s="2">
        <v>7.2030999999999998E-2</v>
      </c>
    </row>
    <row r="7" spans="1:16" ht="14.25" thickBot="1">
      <c r="A7">
        <v>48</v>
      </c>
      <c r="B7" t="s">
        <v>10</v>
      </c>
      <c r="C7">
        <v>1</v>
      </c>
      <c r="D7" t="s">
        <v>13</v>
      </c>
      <c r="E7">
        <v>-25.735900000000001</v>
      </c>
      <c r="F7">
        <v>-59.991799999999998</v>
      </c>
      <c r="H7">
        <v>35.840000000000003</v>
      </c>
      <c r="J7">
        <f t="shared" si="0"/>
        <v>9.460000000000008</v>
      </c>
      <c r="K7">
        <v>153.62</v>
      </c>
      <c r="L7">
        <f t="shared" si="1"/>
        <v>26.379999999999995</v>
      </c>
      <c r="O7" s="2">
        <v>7.2030999999999998E-2</v>
      </c>
    </row>
    <row r="8" spans="1:16" ht="14.25" thickBot="1">
      <c r="A8">
        <v>52</v>
      </c>
      <c r="B8" t="s">
        <v>10</v>
      </c>
      <c r="C8">
        <v>1</v>
      </c>
      <c r="D8" t="s">
        <v>13</v>
      </c>
      <c r="E8">
        <v>-25.686499999999999</v>
      </c>
      <c r="F8">
        <v>-60.040599999999998</v>
      </c>
      <c r="H8">
        <v>105.26</v>
      </c>
      <c r="J8">
        <f t="shared" si="0"/>
        <v>10.469999999999999</v>
      </c>
      <c r="K8">
        <v>85.21</v>
      </c>
      <c r="L8">
        <f t="shared" si="1"/>
        <v>94.79</v>
      </c>
      <c r="O8" s="2">
        <v>0.135271</v>
      </c>
    </row>
    <row r="9" spans="1:16" ht="14.25" thickBot="1">
      <c r="A9">
        <v>54</v>
      </c>
      <c r="B9" t="s">
        <v>10</v>
      </c>
      <c r="C9">
        <v>1</v>
      </c>
      <c r="D9" t="s">
        <v>13</v>
      </c>
      <c r="E9">
        <v>-25.665800000000001</v>
      </c>
      <c r="F9">
        <v>-60.099800000000002</v>
      </c>
      <c r="H9">
        <v>85.24</v>
      </c>
      <c r="J9">
        <f t="shared" si="0"/>
        <v>4.7600000000000051</v>
      </c>
      <c r="K9">
        <v>90</v>
      </c>
      <c r="L9">
        <f t="shared" si="1"/>
        <v>90</v>
      </c>
      <c r="O9" s="2">
        <v>0.50393399999999999</v>
      </c>
    </row>
    <row r="10" spans="1:16" ht="14.25" thickBot="1">
      <c r="A10">
        <v>56</v>
      </c>
      <c r="B10" t="s">
        <v>10</v>
      </c>
      <c r="C10">
        <v>1</v>
      </c>
      <c r="D10" t="s">
        <v>13</v>
      </c>
      <c r="E10">
        <v>-25.7606</v>
      </c>
      <c r="F10">
        <v>-59.968699999999998</v>
      </c>
      <c r="H10">
        <v>65.5</v>
      </c>
      <c r="J10">
        <f t="shared" si="0"/>
        <v>31.42</v>
      </c>
      <c r="K10">
        <v>83.08</v>
      </c>
      <c r="L10">
        <f t="shared" si="1"/>
        <v>96.92</v>
      </c>
      <c r="O10" s="2">
        <v>7.2030999999999998E-2</v>
      </c>
    </row>
    <row r="11" spans="1:16" ht="14.25" thickBot="1">
      <c r="A11">
        <v>76</v>
      </c>
      <c r="B11" t="s">
        <v>12</v>
      </c>
      <c r="C11">
        <v>0</v>
      </c>
      <c r="D11" t="s">
        <v>15</v>
      </c>
      <c r="E11">
        <v>46.266500000000001</v>
      </c>
      <c r="F11">
        <v>-106.771</v>
      </c>
      <c r="H11">
        <v>70.95</v>
      </c>
      <c r="J11">
        <f t="shared" si="0"/>
        <v>9.6800000000000068</v>
      </c>
      <c r="K11">
        <v>118.73</v>
      </c>
      <c r="L11">
        <f t="shared" si="1"/>
        <v>61.269999999999996</v>
      </c>
      <c r="O11" s="2">
        <v>0.57558699999999996</v>
      </c>
    </row>
    <row r="12" spans="1:16" ht="14.25" thickBot="1">
      <c r="A12">
        <v>87</v>
      </c>
      <c r="B12" t="s">
        <v>10</v>
      </c>
      <c r="C12">
        <v>1</v>
      </c>
      <c r="D12" t="s">
        <v>16</v>
      </c>
      <c r="E12">
        <v>34.696899999999999</v>
      </c>
      <c r="F12">
        <v>-91.343800000000002</v>
      </c>
      <c r="H12">
        <v>95.19</v>
      </c>
      <c r="J12">
        <f t="shared" si="0"/>
        <v>52.120000000000005</v>
      </c>
      <c r="K12">
        <v>136.93</v>
      </c>
      <c r="L12">
        <f t="shared" si="1"/>
        <v>43.069999999999993</v>
      </c>
      <c r="O12" s="5">
        <v>0</v>
      </c>
    </row>
    <row r="13" spans="1:16" ht="14.25" thickBot="1">
      <c r="A13">
        <v>114</v>
      </c>
      <c r="B13" t="s">
        <v>12</v>
      </c>
      <c r="C13">
        <v>0</v>
      </c>
      <c r="D13" t="s">
        <v>17</v>
      </c>
      <c r="E13">
        <v>33.180199999999999</v>
      </c>
      <c r="F13">
        <v>-93.757000000000005</v>
      </c>
      <c r="H13">
        <v>76.260000000000005</v>
      </c>
      <c r="J13">
        <f t="shared" si="0"/>
        <v>25.769999999999996</v>
      </c>
      <c r="K13">
        <v>129.51</v>
      </c>
      <c r="L13">
        <f t="shared" si="1"/>
        <v>50.490000000000009</v>
      </c>
      <c r="N13" t="s">
        <v>18</v>
      </c>
      <c r="O13" s="2">
        <v>0.209339</v>
      </c>
    </row>
    <row r="14" spans="1:16" ht="14.25" thickBot="1">
      <c r="A14">
        <v>128</v>
      </c>
      <c r="B14" t="s">
        <v>12</v>
      </c>
      <c r="C14">
        <v>0</v>
      </c>
      <c r="D14" t="s">
        <v>17</v>
      </c>
      <c r="E14">
        <v>34.1066</v>
      </c>
      <c r="F14">
        <v>-98.416499999999999</v>
      </c>
      <c r="N14" t="s">
        <v>19</v>
      </c>
      <c r="O14" s="2">
        <v>0.49691000000000002</v>
      </c>
    </row>
    <row r="15" spans="1:16" ht="14.25" thickBot="1">
      <c r="A15">
        <v>129</v>
      </c>
      <c r="B15" t="s">
        <v>12</v>
      </c>
      <c r="C15">
        <v>0</v>
      </c>
      <c r="D15" t="s">
        <v>20</v>
      </c>
      <c r="E15">
        <v>39.161900000000003</v>
      </c>
      <c r="F15">
        <v>-96.363299999999995</v>
      </c>
      <c r="N15" t="s">
        <v>21</v>
      </c>
      <c r="O15" s="2">
        <v>0.47128999999999999</v>
      </c>
    </row>
    <row r="16" spans="1:16" ht="14.25" thickBot="1">
      <c r="A16">
        <v>137</v>
      </c>
      <c r="B16" t="s">
        <v>10</v>
      </c>
      <c r="C16">
        <v>1</v>
      </c>
      <c r="D16" t="s">
        <v>16</v>
      </c>
      <c r="E16">
        <v>34.770299999999999</v>
      </c>
      <c r="F16">
        <v>-91.414400000000001</v>
      </c>
      <c r="H16">
        <v>77.52</v>
      </c>
      <c r="J16">
        <f>ABS(H16-L16)</f>
        <v>38.549999999999997</v>
      </c>
      <c r="K16">
        <v>141.03</v>
      </c>
      <c r="L16">
        <f>180-K16</f>
        <v>38.97</v>
      </c>
      <c r="O16" s="2">
        <v>7.6938000000000006E-2</v>
      </c>
    </row>
    <row r="17" spans="1:15" ht="15" thickBot="1">
      <c r="A17">
        <v>160</v>
      </c>
      <c r="B17" t="s">
        <v>12</v>
      </c>
      <c r="C17">
        <v>0</v>
      </c>
      <c r="D17" t="s">
        <v>22</v>
      </c>
      <c r="E17">
        <v>26.207000000000001</v>
      </c>
      <c r="F17">
        <v>68.005300000000005</v>
      </c>
      <c r="N17" t="s">
        <v>21</v>
      </c>
      <c r="O17" s="3">
        <v>9.2669000000000001E-2</v>
      </c>
    </row>
    <row r="18" spans="1:15" ht="14.25" thickBot="1">
      <c r="A18">
        <v>163</v>
      </c>
      <c r="B18" t="s">
        <v>10</v>
      </c>
      <c r="C18">
        <v>1</v>
      </c>
      <c r="D18" t="s">
        <v>23</v>
      </c>
      <c r="E18">
        <v>-5.6904700000000004</v>
      </c>
      <c r="F18">
        <v>145.33600000000001</v>
      </c>
      <c r="H18">
        <v>69.72</v>
      </c>
      <c r="J18">
        <f>ABS(H18-L18)</f>
        <v>9.4599999999999937</v>
      </c>
      <c r="K18">
        <v>119.74</v>
      </c>
      <c r="L18">
        <f>180-K18</f>
        <v>60.260000000000005</v>
      </c>
      <c r="O18" s="2">
        <v>1.005782</v>
      </c>
    </row>
    <row r="19" spans="1:15" ht="14.25" thickBot="1">
      <c r="A19">
        <v>164</v>
      </c>
      <c r="B19" t="s">
        <v>10</v>
      </c>
      <c r="C19">
        <v>1</v>
      </c>
      <c r="D19" t="s">
        <v>23</v>
      </c>
      <c r="E19">
        <v>-5.3169700000000004</v>
      </c>
      <c r="F19">
        <v>145.001</v>
      </c>
      <c r="H19">
        <v>58.19</v>
      </c>
      <c r="J19">
        <f>ABS(H19-L19)</f>
        <v>24.5</v>
      </c>
      <c r="K19">
        <v>146.31</v>
      </c>
      <c r="L19">
        <f>180-K19</f>
        <v>33.69</v>
      </c>
      <c r="O19" s="2">
        <v>0.414047</v>
      </c>
    </row>
    <row r="20" spans="1:15" ht="14.25" thickBot="1">
      <c r="A20">
        <v>165</v>
      </c>
      <c r="B20" t="s">
        <v>10</v>
      </c>
      <c r="C20">
        <v>1</v>
      </c>
      <c r="D20" t="s">
        <v>23</v>
      </c>
      <c r="E20">
        <v>-5.2643599999999999</v>
      </c>
      <c r="F20">
        <v>144.94</v>
      </c>
      <c r="H20">
        <v>92.64</v>
      </c>
      <c r="J20">
        <f>ABS(H20-L20)</f>
        <v>80.720000000000013</v>
      </c>
      <c r="K20">
        <v>168.08</v>
      </c>
      <c r="L20">
        <f>180-K20</f>
        <v>11.919999999999987</v>
      </c>
      <c r="O20" s="2">
        <v>0.55638600000000005</v>
      </c>
    </row>
    <row r="21" spans="1:15" ht="14.25" thickBot="1">
      <c r="A21">
        <v>167</v>
      </c>
      <c r="B21" t="s">
        <v>12</v>
      </c>
      <c r="C21">
        <v>0</v>
      </c>
      <c r="D21" t="s">
        <v>23</v>
      </c>
      <c r="E21">
        <v>-5.0383599999999999</v>
      </c>
      <c r="F21">
        <v>144.697</v>
      </c>
      <c r="H21">
        <v>79.7</v>
      </c>
      <c r="J21">
        <f>ABS(H21-L21)</f>
        <v>57.530000000000015</v>
      </c>
      <c r="K21">
        <v>157.83000000000001</v>
      </c>
      <c r="L21">
        <f>180-K21</f>
        <v>22.169999999999987</v>
      </c>
      <c r="O21" s="2">
        <v>0.47556199999999998</v>
      </c>
    </row>
    <row r="22" spans="1:15" ht="14.25" thickBot="1">
      <c r="A22">
        <v>202</v>
      </c>
      <c r="B22" t="s">
        <v>12</v>
      </c>
      <c r="C22">
        <v>0</v>
      </c>
      <c r="D22" t="s">
        <v>24</v>
      </c>
      <c r="E22">
        <v>17.776399999999999</v>
      </c>
      <c r="F22">
        <v>121.715</v>
      </c>
      <c r="N22" t="s">
        <v>21</v>
      </c>
      <c r="O22" s="2">
        <v>0.119713</v>
      </c>
    </row>
    <row r="23" spans="1:15" ht="14.25" thickBot="1">
      <c r="A23">
        <v>205</v>
      </c>
      <c r="B23" t="s">
        <v>12</v>
      </c>
      <c r="C23">
        <v>0</v>
      </c>
      <c r="D23" t="s">
        <v>25</v>
      </c>
      <c r="E23">
        <v>-2.2473000000000001</v>
      </c>
      <c r="F23">
        <v>132.67500000000001</v>
      </c>
      <c r="H23">
        <v>85.87</v>
      </c>
      <c r="J23">
        <f>ABS(H23-L23)</f>
        <v>30.960000000000008</v>
      </c>
      <c r="K23">
        <v>125.09</v>
      </c>
      <c r="L23">
        <f>180-K23</f>
        <v>54.91</v>
      </c>
      <c r="O23" s="2">
        <v>6.1479999999999998E-3</v>
      </c>
    </row>
    <row r="24" spans="1:15" ht="14.25" thickBot="1">
      <c r="A24">
        <v>207</v>
      </c>
      <c r="B24" t="s">
        <v>10</v>
      </c>
      <c r="C24">
        <v>1</v>
      </c>
      <c r="D24" t="s">
        <v>26</v>
      </c>
      <c r="E24">
        <v>-2.2655099999999999</v>
      </c>
      <c r="F24">
        <v>132.96100000000001</v>
      </c>
      <c r="H24">
        <v>98.56</v>
      </c>
      <c r="J24">
        <f>ABS(H24-L24)</f>
        <v>50.19</v>
      </c>
      <c r="K24">
        <v>131.63</v>
      </c>
      <c r="L24">
        <f>180-K24</f>
        <v>48.370000000000005</v>
      </c>
      <c r="O24" s="2">
        <v>2.4487999999999999E-2</v>
      </c>
    </row>
    <row r="25" spans="1:15" ht="14.25" thickBot="1">
      <c r="A25">
        <v>208</v>
      </c>
      <c r="B25" t="s">
        <v>12</v>
      </c>
      <c r="C25">
        <v>0</v>
      </c>
      <c r="D25" t="s">
        <v>26</v>
      </c>
      <c r="E25">
        <v>-2.2280000000000002</v>
      </c>
      <c r="F25">
        <v>132.97900000000001</v>
      </c>
      <c r="H25">
        <v>99.39</v>
      </c>
      <c r="J25">
        <f>ABS(H25-L25)</f>
        <v>55.970000000000013</v>
      </c>
      <c r="K25">
        <v>136.58000000000001</v>
      </c>
      <c r="L25">
        <f>180-K25</f>
        <v>43.419999999999987</v>
      </c>
      <c r="O25" s="2">
        <v>2.4487999999999999E-2</v>
      </c>
    </row>
    <row r="26" spans="1:15" ht="14.25" thickBot="1">
      <c r="A26">
        <v>209</v>
      </c>
      <c r="B26" t="s">
        <v>10</v>
      </c>
      <c r="C26">
        <v>1</v>
      </c>
      <c r="D26" t="s">
        <v>26</v>
      </c>
      <c r="E26">
        <v>-2.1135700000000002</v>
      </c>
      <c r="F26">
        <v>133.05500000000001</v>
      </c>
      <c r="H26">
        <v>98.75</v>
      </c>
      <c r="J26">
        <f>ABS(H26-L26)</f>
        <v>79.099999999999994</v>
      </c>
      <c r="K26">
        <v>160.35</v>
      </c>
      <c r="L26">
        <f>180-K26</f>
        <v>19.650000000000006</v>
      </c>
      <c r="O26" s="2">
        <v>1.9266999999999999E-2</v>
      </c>
    </row>
    <row r="27" spans="1:15" ht="14.25" thickBot="1">
      <c r="A27">
        <v>229</v>
      </c>
      <c r="B27" t="s">
        <v>12</v>
      </c>
      <c r="C27">
        <v>0</v>
      </c>
      <c r="D27" t="s">
        <v>27</v>
      </c>
      <c r="E27">
        <v>-3.5159099999999999</v>
      </c>
      <c r="F27">
        <v>139.49</v>
      </c>
      <c r="N27" t="s">
        <v>28</v>
      </c>
      <c r="O27" s="2">
        <v>0.24485699999999999</v>
      </c>
    </row>
    <row r="28" spans="1:15" ht="14.25" thickBot="1">
      <c r="A28">
        <v>230</v>
      </c>
      <c r="B28" t="s">
        <v>12</v>
      </c>
      <c r="C28">
        <v>0</v>
      </c>
      <c r="D28" t="s">
        <v>27</v>
      </c>
      <c r="E28">
        <v>-3.5320800000000001</v>
      </c>
      <c r="F28">
        <v>139.52000000000001</v>
      </c>
      <c r="N28" t="s">
        <v>29</v>
      </c>
      <c r="O28" s="2">
        <v>0.106127</v>
      </c>
    </row>
    <row r="29" spans="1:15" ht="14.25" thickBot="1">
      <c r="A29">
        <v>231</v>
      </c>
      <c r="B29" t="s">
        <v>10</v>
      </c>
      <c r="C29">
        <v>1</v>
      </c>
      <c r="D29" t="s">
        <v>27</v>
      </c>
      <c r="E29">
        <v>-3.5467</v>
      </c>
      <c r="F29">
        <v>139.738</v>
      </c>
      <c r="H29">
        <v>108.43</v>
      </c>
      <c r="J29">
        <f t="shared" ref="J29:J39" si="2">ABS(H29-L29)</f>
        <v>78.69</v>
      </c>
      <c r="K29">
        <v>150.26</v>
      </c>
      <c r="L29">
        <f t="shared" ref="L29:L39" si="3">180-K29</f>
        <v>29.740000000000009</v>
      </c>
      <c r="O29" s="2">
        <v>0.34434300000000001</v>
      </c>
    </row>
    <row r="30" spans="1:15" ht="15" thickBot="1">
      <c r="A30">
        <v>237</v>
      </c>
      <c r="B30" t="s">
        <v>12</v>
      </c>
      <c r="C30">
        <v>0</v>
      </c>
      <c r="D30" t="s">
        <v>30</v>
      </c>
      <c r="E30">
        <v>-3.05125</v>
      </c>
      <c r="F30">
        <v>137.761</v>
      </c>
      <c r="H30">
        <v>94.95</v>
      </c>
      <c r="J30">
        <f t="shared" si="2"/>
        <v>1.2900000000000063</v>
      </c>
      <c r="K30">
        <v>86.34</v>
      </c>
      <c r="L30">
        <f t="shared" si="3"/>
        <v>93.66</v>
      </c>
      <c r="O30" s="3">
        <v>3.9996999999999998E-2</v>
      </c>
    </row>
    <row r="31" spans="1:15" ht="14.25" thickBot="1">
      <c r="A31">
        <v>257</v>
      </c>
      <c r="B31" t="s">
        <v>10</v>
      </c>
      <c r="C31">
        <v>1</v>
      </c>
      <c r="D31" t="s">
        <v>31</v>
      </c>
      <c r="E31">
        <v>-6.0896999999999997</v>
      </c>
      <c r="F31">
        <v>141.126</v>
      </c>
      <c r="H31">
        <v>94.86</v>
      </c>
      <c r="J31">
        <f t="shared" si="2"/>
        <v>44.820000000000007</v>
      </c>
      <c r="K31">
        <v>129.96</v>
      </c>
      <c r="L31">
        <f t="shared" si="3"/>
        <v>50.039999999999992</v>
      </c>
      <c r="O31" s="2">
        <v>9.9380000000000007E-3</v>
      </c>
    </row>
    <row r="32" spans="1:15">
      <c r="A32">
        <v>261</v>
      </c>
      <c r="B32" t="s">
        <v>10</v>
      </c>
      <c r="C32">
        <v>1</v>
      </c>
      <c r="D32" t="s">
        <v>31</v>
      </c>
      <c r="E32">
        <v>-6.4696699999999998</v>
      </c>
      <c r="F32">
        <v>140.94499999999999</v>
      </c>
      <c r="H32">
        <v>92.58</v>
      </c>
      <c r="J32">
        <f t="shared" si="2"/>
        <v>69.570000000000007</v>
      </c>
      <c r="K32">
        <v>156.99</v>
      </c>
      <c r="L32">
        <f t="shared" si="3"/>
        <v>23.009999999999991</v>
      </c>
      <c r="O32" s="7">
        <v>0</v>
      </c>
    </row>
    <row r="33" spans="1:16" ht="14.25" thickBot="1">
      <c r="A33">
        <v>265</v>
      </c>
      <c r="B33" t="s">
        <v>12</v>
      </c>
      <c r="C33">
        <v>0</v>
      </c>
      <c r="D33" t="s">
        <v>31</v>
      </c>
      <c r="E33">
        <v>-6.3140099999999997</v>
      </c>
      <c r="F33">
        <v>141.01900000000001</v>
      </c>
      <c r="H33">
        <v>125.84</v>
      </c>
      <c r="J33">
        <f t="shared" si="2"/>
        <v>62.11</v>
      </c>
      <c r="K33">
        <v>116.27</v>
      </c>
      <c r="L33">
        <f t="shared" si="3"/>
        <v>63.730000000000004</v>
      </c>
      <c r="O33" s="7">
        <v>0</v>
      </c>
    </row>
    <row r="34" spans="1:16" ht="14.25" thickBot="1">
      <c r="A34">
        <v>284</v>
      </c>
      <c r="B34" t="s">
        <v>10</v>
      </c>
      <c r="C34">
        <v>1</v>
      </c>
      <c r="D34" t="s">
        <v>32</v>
      </c>
      <c r="E34">
        <v>-4.2135100000000003</v>
      </c>
      <c r="F34">
        <v>142.60400000000001</v>
      </c>
      <c r="H34">
        <v>83</v>
      </c>
      <c r="J34">
        <f t="shared" si="2"/>
        <v>35.340000000000003</v>
      </c>
      <c r="K34">
        <v>132.34</v>
      </c>
      <c r="L34">
        <f t="shared" si="3"/>
        <v>47.66</v>
      </c>
      <c r="O34" s="2">
        <v>2.683E-2</v>
      </c>
    </row>
    <row r="35" spans="1:16" ht="14.25" thickBot="1">
      <c r="A35">
        <v>289</v>
      </c>
      <c r="B35" t="s">
        <v>10</v>
      </c>
      <c r="C35">
        <v>1</v>
      </c>
      <c r="D35" t="s">
        <v>32</v>
      </c>
      <c r="E35">
        <v>-4.2914500000000002</v>
      </c>
      <c r="F35">
        <v>142.05600000000001</v>
      </c>
      <c r="H35">
        <v>114.8</v>
      </c>
      <c r="J35">
        <f t="shared" si="2"/>
        <v>63.809999999999988</v>
      </c>
      <c r="K35">
        <v>129.01</v>
      </c>
      <c r="L35">
        <f t="shared" si="3"/>
        <v>50.990000000000009</v>
      </c>
      <c r="O35" s="8">
        <v>0</v>
      </c>
    </row>
    <row r="36" spans="1:16" ht="14.25" thickBot="1">
      <c r="A36">
        <v>290</v>
      </c>
      <c r="B36" t="s">
        <v>10</v>
      </c>
      <c r="C36">
        <v>1</v>
      </c>
      <c r="D36" t="s">
        <v>32</v>
      </c>
      <c r="E36">
        <v>-4.3035500000000004</v>
      </c>
      <c r="F36">
        <v>141.98400000000001</v>
      </c>
      <c r="H36">
        <v>101.58</v>
      </c>
      <c r="J36">
        <f t="shared" si="2"/>
        <v>69.410000000000011</v>
      </c>
      <c r="K36">
        <v>147.83000000000001</v>
      </c>
      <c r="L36">
        <f t="shared" si="3"/>
        <v>32.169999999999987</v>
      </c>
      <c r="O36" s="2">
        <v>0.12268800000000001</v>
      </c>
    </row>
    <row r="37" spans="1:16" ht="14.25" thickBot="1">
      <c r="A37">
        <v>291</v>
      </c>
      <c r="B37" t="s">
        <v>12</v>
      </c>
      <c r="C37">
        <v>0</v>
      </c>
      <c r="D37" t="s">
        <v>32</v>
      </c>
      <c r="E37">
        <v>-4.1952699999999998</v>
      </c>
      <c r="F37">
        <v>141.89599999999999</v>
      </c>
      <c r="H37">
        <v>104.22</v>
      </c>
      <c r="J37">
        <f t="shared" si="2"/>
        <v>66.06</v>
      </c>
      <c r="K37">
        <v>141.84</v>
      </c>
      <c r="L37">
        <f t="shared" si="3"/>
        <v>38.159999999999997</v>
      </c>
      <c r="O37" s="2">
        <v>2.2912999999999999E-2</v>
      </c>
    </row>
    <row r="38" spans="1:16" ht="14.25" thickBot="1">
      <c r="A38">
        <v>292</v>
      </c>
      <c r="B38" t="s">
        <v>10</v>
      </c>
      <c r="C38">
        <v>1</v>
      </c>
      <c r="D38" t="s">
        <v>32</v>
      </c>
      <c r="E38">
        <v>-4.16296</v>
      </c>
      <c r="F38">
        <v>141.90799999999999</v>
      </c>
      <c r="H38">
        <v>100.01</v>
      </c>
      <c r="J38">
        <f t="shared" si="2"/>
        <v>75.459999999999994</v>
      </c>
      <c r="K38">
        <v>155.44999999999999</v>
      </c>
      <c r="L38">
        <f t="shared" si="3"/>
        <v>24.550000000000011</v>
      </c>
      <c r="O38" s="2">
        <v>1.3788E-2</v>
      </c>
    </row>
    <row r="39" spans="1:16" ht="14.25" thickBot="1">
      <c r="A39">
        <v>293</v>
      </c>
      <c r="B39" t="s">
        <v>10</v>
      </c>
      <c r="C39">
        <v>1</v>
      </c>
      <c r="D39" t="s">
        <v>32</v>
      </c>
      <c r="E39">
        <v>-4.0747999999999998</v>
      </c>
      <c r="F39">
        <v>141.81200000000001</v>
      </c>
      <c r="H39">
        <v>96.38</v>
      </c>
      <c r="J39">
        <f t="shared" si="2"/>
        <v>37.339999999999989</v>
      </c>
      <c r="K39">
        <v>120.96</v>
      </c>
      <c r="L39">
        <f t="shared" si="3"/>
        <v>59.040000000000006</v>
      </c>
      <c r="O39" s="2">
        <v>3.3737000000000003E-2</v>
      </c>
    </row>
    <row r="40" spans="1:16">
      <c r="A40">
        <v>294</v>
      </c>
      <c r="B40" t="s">
        <v>10</v>
      </c>
      <c r="C40">
        <v>1</v>
      </c>
      <c r="D40" t="s">
        <v>32</v>
      </c>
      <c r="E40">
        <v>-4.0497399999999999</v>
      </c>
      <c r="F40">
        <v>141.80000000000001</v>
      </c>
      <c r="N40" t="s">
        <v>33</v>
      </c>
      <c r="O40" s="7">
        <v>0</v>
      </c>
    </row>
    <row r="41" spans="1:16" ht="15" thickBot="1">
      <c r="A41">
        <v>295</v>
      </c>
      <c r="B41" t="s">
        <v>10</v>
      </c>
      <c r="C41">
        <v>1</v>
      </c>
      <c r="D41" t="s">
        <v>32</v>
      </c>
      <c r="E41">
        <v>-4.0082700000000004</v>
      </c>
      <c r="F41">
        <v>141.73400000000001</v>
      </c>
      <c r="H41">
        <v>106.59</v>
      </c>
      <c r="J41">
        <f t="shared" ref="J41:J46" si="4">ABS(H41-L41)</f>
        <v>20.990000000000009</v>
      </c>
      <c r="K41">
        <v>94.4</v>
      </c>
      <c r="L41">
        <f t="shared" ref="L41:L46" si="5">180-K41</f>
        <v>85.6</v>
      </c>
      <c r="O41" s="3">
        <v>1.1025E-2</v>
      </c>
    </row>
    <row r="42" spans="1:16" ht="14.25" thickBot="1">
      <c r="A42">
        <v>296</v>
      </c>
      <c r="B42" t="s">
        <v>10</v>
      </c>
      <c r="C42">
        <v>1</v>
      </c>
      <c r="D42" t="s">
        <v>32</v>
      </c>
      <c r="E42">
        <v>-4.0300099999999999</v>
      </c>
      <c r="F42">
        <v>141.76499999999999</v>
      </c>
      <c r="H42">
        <v>118.3</v>
      </c>
      <c r="J42">
        <f t="shared" si="4"/>
        <v>60.17</v>
      </c>
      <c r="K42">
        <v>121.87</v>
      </c>
      <c r="L42">
        <f t="shared" si="5"/>
        <v>58.129999999999995</v>
      </c>
      <c r="O42" s="2">
        <v>1.1025E-2</v>
      </c>
    </row>
    <row r="43" spans="1:16" ht="14.25" thickBot="1">
      <c r="A43">
        <v>297</v>
      </c>
      <c r="B43" t="s">
        <v>10</v>
      </c>
      <c r="C43">
        <v>1</v>
      </c>
      <c r="D43" t="s">
        <v>32</v>
      </c>
      <c r="E43">
        <v>-3.9820099999999998</v>
      </c>
      <c r="F43">
        <v>141.583</v>
      </c>
      <c r="H43">
        <v>98.28</v>
      </c>
      <c r="J43">
        <f t="shared" si="4"/>
        <v>58.69</v>
      </c>
      <c r="K43">
        <v>140.41</v>
      </c>
      <c r="L43">
        <f t="shared" si="5"/>
        <v>39.590000000000003</v>
      </c>
      <c r="O43" s="2">
        <v>0.11415500000000001</v>
      </c>
    </row>
    <row r="44" spans="1:16" ht="14.25" thickBot="1">
      <c r="A44">
        <v>298</v>
      </c>
      <c r="B44" t="s">
        <v>12</v>
      </c>
      <c r="C44">
        <v>0</v>
      </c>
      <c r="D44" t="s">
        <v>32</v>
      </c>
      <c r="E44">
        <v>-3.9860699999999998</v>
      </c>
      <c r="F44">
        <v>141.43299999999999</v>
      </c>
      <c r="H44">
        <v>98.38</v>
      </c>
      <c r="J44">
        <f t="shared" si="4"/>
        <v>69.240000000000009</v>
      </c>
      <c r="K44">
        <v>150.86000000000001</v>
      </c>
      <c r="L44">
        <f t="shared" si="5"/>
        <v>29.139999999999986</v>
      </c>
      <c r="O44" s="2">
        <v>0.29660700000000001</v>
      </c>
    </row>
    <row r="45" spans="1:16" ht="14.25" thickBot="1">
      <c r="A45">
        <v>299</v>
      </c>
      <c r="B45" t="s">
        <v>12</v>
      </c>
      <c r="C45">
        <v>0</v>
      </c>
      <c r="D45" t="s">
        <v>32</v>
      </c>
      <c r="E45">
        <v>-3.9363199999999998</v>
      </c>
      <c r="F45">
        <v>141.37700000000001</v>
      </c>
      <c r="H45">
        <v>95.07</v>
      </c>
      <c r="J45">
        <f t="shared" si="4"/>
        <v>72.31</v>
      </c>
      <c r="K45">
        <v>157.24</v>
      </c>
      <c r="L45">
        <f t="shared" si="5"/>
        <v>22.759999999999991</v>
      </c>
      <c r="O45" s="2">
        <v>9.6860000000000002E-2</v>
      </c>
      <c r="P45" s="2">
        <v>3.8920000000000001E-3</v>
      </c>
    </row>
    <row r="46" spans="1:16" ht="14.25" thickBot="1">
      <c r="A46">
        <v>300</v>
      </c>
      <c r="B46" t="s">
        <v>12</v>
      </c>
      <c r="C46">
        <v>0</v>
      </c>
      <c r="D46" t="s">
        <v>32</v>
      </c>
      <c r="E46">
        <v>-3.9679199999999999</v>
      </c>
      <c r="F46">
        <v>141.369</v>
      </c>
      <c r="H46">
        <v>65.73</v>
      </c>
      <c r="J46">
        <f t="shared" si="4"/>
        <v>1.4300000000000068</v>
      </c>
      <c r="K46">
        <v>115.7</v>
      </c>
      <c r="L46">
        <f t="shared" si="5"/>
        <v>64.3</v>
      </c>
      <c r="O46" s="2">
        <v>9.6860000000000002E-2</v>
      </c>
      <c r="P46" s="2">
        <v>3.8920000000000001E-3</v>
      </c>
    </row>
    <row r="47" spans="1:16">
      <c r="A47">
        <v>301</v>
      </c>
      <c r="B47" t="s">
        <v>10</v>
      </c>
      <c r="C47">
        <v>1</v>
      </c>
      <c r="D47" t="s">
        <v>32</v>
      </c>
      <c r="E47">
        <v>-3.95973</v>
      </c>
      <c r="F47">
        <v>141.273</v>
      </c>
      <c r="N47" t="s">
        <v>33</v>
      </c>
      <c r="O47">
        <v>0.204872</v>
      </c>
    </row>
    <row r="48" spans="1:16" ht="14.25" thickBot="1">
      <c r="A48">
        <v>303</v>
      </c>
      <c r="B48" t="s">
        <v>10</v>
      </c>
      <c r="C48">
        <v>1</v>
      </c>
      <c r="D48" t="s">
        <v>32</v>
      </c>
      <c r="E48">
        <v>-4.0196399999999999</v>
      </c>
      <c r="F48">
        <v>141.208</v>
      </c>
      <c r="H48">
        <v>94.92</v>
      </c>
      <c r="J48">
        <f>ABS(H48-L48)</f>
        <v>61.55</v>
      </c>
      <c r="K48">
        <v>146.63</v>
      </c>
      <c r="L48">
        <f>180-K48</f>
        <v>33.370000000000005</v>
      </c>
      <c r="O48" s="7">
        <v>0</v>
      </c>
    </row>
    <row r="49" spans="1:16" ht="14.25" thickBot="1">
      <c r="A49">
        <v>304</v>
      </c>
      <c r="B49" t="s">
        <v>10</v>
      </c>
      <c r="C49">
        <v>1</v>
      </c>
      <c r="D49" t="s">
        <v>32</v>
      </c>
      <c r="E49">
        <v>-4.0611100000000002</v>
      </c>
      <c r="F49">
        <v>141.17599999999999</v>
      </c>
      <c r="H49">
        <v>105.32</v>
      </c>
      <c r="J49">
        <f>ABS(H49-L49)</f>
        <v>52.66</v>
      </c>
      <c r="K49">
        <v>127.34</v>
      </c>
      <c r="L49">
        <f>180-K49</f>
        <v>52.66</v>
      </c>
      <c r="O49" s="2">
        <v>0.148563</v>
      </c>
    </row>
    <row r="50" spans="1:16" ht="14.25" thickBot="1">
      <c r="A50">
        <v>305</v>
      </c>
      <c r="B50" t="s">
        <v>12</v>
      </c>
      <c r="C50">
        <v>0</v>
      </c>
      <c r="D50" t="s">
        <v>32</v>
      </c>
      <c r="E50">
        <v>-4.0994000000000002</v>
      </c>
      <c r="F50">
        <v>141.12799999999999</v>
      </c>
      <c r="H50">
        <v>76.91</v>
      </c>
      <c r="J50">
        <f>ABS(H50-L50)</f>
        <v>37.139999999999986</v>
      </c>
      <c r="K50">
        <v>140.22999999999999</v>
      </c>
      <c r="L50">
        <f>180-K50</f>
        <v>39.77000000000001</v>
      </c>
      <c r="O50" s="2">
        <v>0.128555</v>
      </c>
    </row>
    <row r="51" spans="1:16" ht="14.25" thickBot="1">
      <c r="A51">
        <v>306</v>
      </c>
      <c r="B51" t="s">
        <v>12</v>
      </c>
      <c r="C51">
        <v>0</v>
      </c>
      <c r="D51" t="s">
        <v>32</v>
      </c>
      <c r="E51">
        <v>-4.11069</v>
      </c>
      <c r="F51">
        <v>141.04599999999999</v>
      </c>
      <c r="H51">
        <v>95.06</v>
      </c>
      <c r="J51">
        <f>ABS(H51-L51)</f>
        <v>78.170000000000016</v>
      </c>
      <c r="K51">
        <v>163.11000000000001</v>
      </c>
      <c r="L51">
        <f>180-K51</f>
        <v>16.889999999999986</v>
      </c>
      <c r="O51" s="2">
        <v>0.68380300000000005</v>
      </c>
      <c r="P51" s="2">
        <v>0.29621399999999998</v>
      </c>
    </row>
    <row r="52" spans="1:16" ht="14.25" thickBot="1">
      <c r="A52">
        <v>310</v>
      </c>
      <c r="B52" t="s">
        <v>10</v>
      </c>
      <c r="C52">
        <v>1</v>
      </c>
      <c r="D52" t="s">
        <v>34</v>
      </c>
      <c r="E52">
        <v>-4.7603499999999999</v>
      </c>
      <c r="F52">
        <v>138.21600000000001</v>
      </c>
      <c r="H52">
        <v>101.31</v>
      </c>
      <c r="J52">
        <f>ABS(H52-L52)</f>
        <v>57.640000000000015</v>
      </c>
      <c r="K52">
        <v>136.33000000000001</v>
      </c>
      <c r="L52">
        <f>180-K52</f>
        <v>43.669999999999987</v>
      </c>
      <c r="O52" s="2">
        <v>0.61280999999999997</v>
      </c>
    </row>
    <row r="53" spans="1:16" ht="14.25" thickBot="1">
      <c r="A53">
        <v>335</v>
      </c>
      <c r="B53" t="s">
        <v>12</v>
      </c>
      <c r="C53">
        <v>0</v>
      </c>
      <c r="D53" t="s">
        <v>22</v>
      </c>
      <c r="E53">
        <v>27.1143</v>
      </c>
      <c r="F53">
        <v>68.065100000000001</v>
      </c>
      <c r="N53" t="s">
        <v>21</v>
      </c>
      <c r="O53" s="2">
        <v>1.8098E-2</v>
      </c>
      <c r="P53" s="2">
        <v>9.3435000000000004E-2</v>
      </c>
    </row>
    <row r="54" spans="1:16" ht="15" thickBot="1">
      <c r="A54">
        <v>341</v>
      </c>
      <c r="B54" t="s">
        <v>12</v>
      </c>
      <c r="C54">
        <v>0</v>
      </c>
      <c r="D54" t="s">
        <v>22</v>
      </c>
      <c r="E54">
        <v>27.5091</v>
      </c>
      <c r="F54">
        <v>68.317499999999995</v>
      </c>
      <c r="N54" t="s">
        <v>21</v>
      </c>
      <c r="O54" s="3">
        <v>1.4723E-2</v>
      </c>
      <c r="P54" s="2">
        <v>0.28176899999999999</v>
      </c>
    </row>
    <row r="55" spans="1:16" ht="14.25" thickBot="1">
      <c r="A55">
        <v>342</v>
      </c>
      <c r="B55" t="s">
        <v>12</v>
      </c>
      <c r="C55">
        <v>0</v>
      </c>
      <c r="D55" t="s">
        <v>22</v>
      </c>
      <c r="E55">
        <v>27.7103</v>
      </c>
      <c r="F55">
        <v>68.906000000000006</v>
      </c>
      <c r="N55" t="s">
        <v>35</v>
      </c>
      <c r="O55" s="2">
        <v>0.24807699999999999</v>
      </c>
    </row>
    <row r="56" spans="1:16" ht="14.25" thickBot="1">
      <c r="A56">
        <v>370</v>
      </c>
      <c r="B56" t="s">
        <v>10</v>
      </c>
      <c r="C56">
        <v>1</v>
      </c>
      <c r="D56" t="s">
        <v>36</v>
      </c>
      <c r="E56">
        <v>-12.7037</v>
      </c>
      <c r="F56">
        <v>-69.779799999999994</v>
      </c>
      <c r="H56">
        <v>72.099999999999994</v>
      </c>
      <c r="J56">
        <f>ABS(H56-L56)</f>
        <v>14.079999999999998</v>
      </c>
      <c r="K56">
        <v>121.98</v>
      </c>
      <c r="L56">
        <f>180-K56</f>
        <v>58.019999999999996</v>
      </c>
      <c r="O56" s="2">
        <v>4.2689999999999999E-2</v>
      </c>
    </row>
    <row r="57" spans="1:16" ht="14.25" thickBot="1">
      <c r="A57">
        <v>375</v>
      </c>
      <c r="B57" t="s">
        <v>12</v>
      </c>
      <c r="C57">
        <v>0</v>
      </c>
      <c r="D57" t="s">
        <v>37</v>
      </c>
      <c r="E57">
        <v>4.2832400000000002</v>
      </c>
      <c r="F57">
        <v>-70.310699999999997</v>
      </c>
      <c r="N57" t="s">
        <v>33</v>
      </c>
      <c r="O57" s="2">
        <v>3.4465000000000003E-2</v>
      </c>
    </row>
    <row r="58" spans="1:16" ht="14.25" thickBot="1">
      <c r="A58">
        <v>377</v>
      </c>
      <c r="B58" t="s">
        <v>12</v>
      </c>
      <c r="C58">
        <v>0</v>
      </c>
      <c r="D58" t="s">
        <v>37</v>
      </c>
      <c r="E58">
        <v>4.4559600000000001</v>
      </c>
      <c r="F58">
        <v>-69.436199999999999</v>
      </c>
      <c r="H58">
        <v>71.040000000000006</v>
      </c>
      <c r="J58">
        <f t="shared" ref="J58:J89" si="6">ABS(H58-L58)</f>
        <v>21.760000000000005</v>
      </c>
      <c r="K58">
        <v>130.72</v>
      </c>
      <c r="L58">
        <f t="shared" ref="L58:L89" si="7">180-K58</f>
        <v>49.28</v>
      </c>
      <c r="O58" s="2">
        <v>9.9170000000000005E-3</v>
      </c>
      <c r="P58" s="2">
        <v>6.9089999999999999E-2</v>
      </c>
    </row>
    <row r="59" spans="1:16" ht="14.25" thickBot="1">
      <c r="A59">
        <v>378</v>
      </c>
      <c r="B59" t="s">
        <v>12</v>
      </c>
      <c r="C59">
        <v>0</v>
      </c>
      <c r="D59" t="s">
        <v>38</v>
      </c>
      <c r="E59">
        <v>0.49785000000000001</v>
      </c>
      <c r="F59">
        <v>-76.536500000000004</v>
      </c>
      <c r="H59">
        <v>59.71</v>
      </c>
      <c r="J59">
        <f t="shared" si="6"/>
        <v>3.9100000000000037</v>
      </c>
      <c r="K59">
        <v>116.38</v>
      </c>
      <c r="L59">
        <f t="shared" si="7"/>
        <v>63.620000000000005</v>
      </c>
      <c r="O59" s="2">
        <v>0.56003000000000003</v>
      </c>
      <c r="P59" s="2">
        <v>0.28756999999999999</v>
      </c>
    </row>
    <row r="60" spans="1:16" ht="14.25" thickBot="1">
      <c r="A60">
        <v>379</v>
      </c>
      <c r="B60" t="s">
        <v>10</v>
      </c>
      <c r="C60">
        <v>1</v>
      </c>
      <c r="D60" t="s">
        <v>38</v>
      </c>
      <c r="E60">
        <v>0.21967300000000001</v>
      </c>
      <c r="F60">
        <v>-75.9512</v>
      </c>
      <c r="H60">
        <v>78.760000000000005</v>
      </c>
      <c r="J60">
        <f t="shared" si="6"/>
        <v>14.040000000000006</v>
      </c>
      <c r="K60">
        <v>115.28</v>
      </c>
      <c r="L60">
        <f t="shared" si="7"/>
        <v>64.72</v>
      </c>
      <c r="O60">
        <v>0.21967300000000001</v>
      </c>
    </row>
    <row r="61" spans="1:16" ht="14.25" thickBot="1">
      <c r="A61">
        <v>380</v>
      </c>
      <c r="B61" t="s">
        <v>12</v>
      </c>
      <c r="C61">
        <v>0</v>
      </c>
      <c r="D61" t="s">
        <v>39</v>
      </c>
      <c r="E61">
        <v>0.98235799999999995</v>
      </c>
      <c r="F61">
        <v>-75.938800000000001</v>
      </c>
      <c r="H61">
        <v>76.62</v>
      </c>
      <c r="J61">
        <f t="shared" si="6"/>
        <v>60.730000000000018</v>
      </c>
      <c r="K61">
        <v>164.11</v>
      </c>
      <c r="L61">
        <f t="shared" si="7"/>
        <v>15.889999999999986</v>
      </c>
      <c r="O61" s="2">
        <v>0.64083800000000002</v>
      </c>
      <c r="P61" s="2">
        <v>0.31368000000000001</v>
      </c>
    </row>
    <row r="62" spans="1:16">
      <c r="A62">
        <v>382</v>
      </c>
      <c r="B62" t="s">
        <v>12</v>
      </c>
      <c r="C62">
        <v>0</v>
      </c>
      <c r="D62" t="s">
        <v>37</v>
      </c>
      <c r="E62">
        <v>4.1799200000000001</v>
      </c>
      <c r="F62">
        <v>-70.490600000000001</v>
      </c>
      <c r="H62">
        <v>129.09</v>
      </c>
      <c r="J62">
        <f t="shared" si="6"/>
        <v>94.759999999999991</v>
      </c>
      <c r="K62">
        <v>145.66999999999999</v>
      </c>
      <c r="L62">
        <f t="shared" si="7"/>
        <v>34.330000000000013</v>
      </c>
      <c r="O62" s="7">
        <v>0</v>
      </c>
    </row>
    <row r="63" spans="1:16" ht="14.25">
      <c r="A63">
        <v>383</v>
      </c>
      <c r="B63" t="s">
        <v>10</v>
      </c>
      <c r="C63">
        <v>1</v>
      </c>
      <c r="D63" t="s">
        <v>39</v>
      </c>
      <c r="E63">
        <v>1.00678</v>
      </c>
      <c r="F63">
        <v>-76.190700000000007</v>
      </c>
      <c r="H63">
        <v>77.42</v>
      </c>
      <c r="J63">
        <f t="shared" si="6"/>
        <v>31.730000000000004</v>
      </c>
      <c r="K63">
        <v>134.31</v>
      </c>
      <c r="L63">
        <f t="shared" si="7"/>
        <v>45.69</v>
      </c>
      <c r="O63" s="3">
        <v>0.32536900000000002</v>
      </c>
    </row>
    <row r="64" spans="1:16">
      <c r="A64">
        <v>386</v>
      </c>
      <c r="B64" t="s">
        <v>10</v>
      </c>
      <c r="C64">
        <v>1</v>
      </c>
      <c r="D64" t="s">
        <v>40</v>
      </c>
      <c r="E64">
        <v>-6.7428600000000003</v>
      </c>
      <c r="F64">
        <v>-70.277600000000007</v>
      </c>
      <c r="H64">
        <v>102.72</v>
      </c>
      <c r="J64">
        <f t="shared" si="6"/>
        <v>71.759999999999991</v>
      </c>
      <c r="K64">
        <v>149.04</v>
      </c>
      <c r="L64">
        <f t="shared" si="7"/>
        <v>30.960000000000008</v>
      </c>
      <c r="O64" s="8">
        <v>0</v>
      </c>
    </row>
    <row r="65" spans="1:17">
      <c r="A65">
        <v>387</v>
      </c>
      <c r="B65" t="s">
        <v>10</v>
      </c>
      <c r="C65">
        <v>1</v>
      </c>
      <c r="D65" t="s">
        <v>40</v>
      </c>
      <c r="E65">
        <v>-6.7542600000000004</v>
      </c>
      <c r="F65">
        <v>-69.943399999999997</v>
      </c>
      <c r="H65">
        <v>139.4</v>
      </c>
      <c r="J65">
        <f t="shared" si="6"/>
        <v>63.440000000000012</v>
      </c>
      <c r="K65">
        <v>104.04</v>
      </c>
      <c r="L65">
        <f t="shared" si="7"/>
        <v>75.959999999999994</v>
      </c>
      <c r="O65" s="8">
        <v>0</v>
      </c>
    </row>
    <row r="66" spans="1:17" ht="15" thickBot="1">
      <c r="A66">
        <v>388</v>
      </c>
      <c r="B66" t="s">
        <v>10</v>
      </c>
      <c r="C66">
        <v>1</v>
      </c>
      <c r="D66" t="s">
        <v>40</v>
      </c>
      <c r="E66">
        <v>-6.8161500000000004</v>
      </c>
      <c r="F66">
        <v>-70.617999999999995</v>
      </c>
      <c r="H66">
        <v>90</v>
      </c>
      <c r="J66">
        <f t="shared" si="6"/>
        <v>34.700000000000003</v>
      </c>
      <c r="K66">
        <v>124.7</v>
      </c>
      <c r="L66">
        <f t="shared" si="7"/>
        <v>55.3</v>
      </c>
      <c r="O66" s="3">
        <v>5.3949999999999996E-3</v>
      </c>
    </row>
    <row r="67" spans="1:17" ht="14.25" thickBot="1">
      <c r="A67">
        <v>389</v>
      </c>
      <c r="B67" t="s">
        <v>10</v>
      </c>
      <c r="C67">
        <v>1</v>
      </c>
      <c r="D67" t="s">
        <v>40</v>
      </c>
      <c r="E67">
        <v>-6.7488299999999999</v>
      </c>
      <c r="F67">
        <v>-70.224400000000003</v>
      </c>
      <c r="H67">
        <v>70.11</v>
      </c>
      <c r="J67">
        <f t="shared" si="6"/>
        <v>19.690000000000012</v>
      </c>
      <c r="K67">
        <v>129.58000000000001</v>
      </c>
      <c r="L67">
        <f t="shared" si="7"/>
        <v>50.419999999999987</v>
      </c>
      <c r="N67" t="s">
        <v>41</v>
      </c>
      <c r="O67" s="2">
        <v>1.3169999999999999E-2</v>
      </c>
    </row>
    <row r="68" spans="1:17" ht="14.25" thickBot="1">
      <c r="A68">
        <v>390</v>
      </c>
      <c r="B68" t="s">
        <v>12</v>
      </c>
      <c r="C68">
        <v>0</v>
      </c>
      <c r="D68" t="s">
        <v>42</v>
      </c>
      <c r="E68">
        <v>-9.8934300000000004</v>
      </c>
      <c r="F68">
        <v>-74.030900000000003</v>
      </c>
      <c r="H68">
        <v>142.04</v>
      </c>
      <c r="J68">
        <f t="shared" si="6"/>
        <v>76.33</v>
      </c>
      <c r="K68">
        <v>114.29</v>
      </c>
      <c r="L68">
        <f t="shared" si="7"/>
        <v>65.709999999999994</v>
      </c>
      <c r="O68" s="2">
        <v>8.3920000000000002E-3</v>
      </c>
    </row>
    <row r="69" spans="1:17" ht="14.25" thickBot="1">
      <c r="A69">
        <v>391</v>
      </c>
      <c r="B69" t="s">
        <v>10</v>
      </c>
      <c r="C69">
        <v>1</v>
      </c>
      <c r="D69" t="s">
        <v>42</v>
      </c>
      <c r="E69">
        <v>-9.6462699999999995</v>
      </c>
      <c r="F69">
        <v>-74.092399999999998</v>
      </c>
      <c r="H69">
        <v>105.46</v>
      </c>
      <c r="J69">
        <f t="shared" si="6"/>
        <v>8.8799999999999955</v>
      </c>
      <c r="K69">
        <v>83.42</v>
      </c>
      <c r="L69">
        <f t="shared" si="7"/>
        <v>96.58</v>
      </c>
      <c r="O69" s="8">
        <v>0</v>
      </c>
    </row>
    <row r="70" spans="1:17" ht="14.25" thickBot="1">
      <c r="A70">
        <v>393</v>
      </c>
      <c r="B70" t="s">
        <v>10</v>
      </c>
      <c r="C70">
        <v>1</v>
      </c>
      <c r="D70" t="s">
        <v>42</v>
      </c>
      <c r="E70">
        <v>-7.6381100000000002</v>
      </c>
      <c r="F70">
        <v>-74.997500000000002</v>
      </c>
      <c r="H70">
        <v>59</v>
      </c>
      <c r="J70">
        <f t="shared" si="6"/>
        <v>13.719999999999999</v>
      </c>
      <c r="K70">
        <v>134.72</v>
      </c>
      <c r="L70">
        <f t="shared" si="7"/>
        <v>45.28</v>
      </c>
      <c r="O70" s="2">
        <v>0.104101</v>
      </c>
      <c r="P70" s="2">
        <v>0.25240400000000002</v>
      </c>
    </row>
    <row r="71" spans="1:17" ht="14.25">
      <c r="A71">
        <v>394</v>
      </c>
      <c r="B71" t="s">
        <v>10</v>
      </c>
      <c r="C71">
        <v>1</v>
      </c>
      <c r="D71" t="s">
        <v>42</v>
      </c>
      <c r="E71">
        <v>-10.0589</v>
      </c>
      <c r="F71">
        <v>-73.990399999999994</v>
      </c>
      <c r="H71">
        <v>35.08</v>
      </c>
      <c r="J71">
        <f t="shared" si="6"/>
        <v>7.4400000000000119</v>
      </c>
      <c r="K71">
        <v>152.36000000000001</v>
      </c>
      <c r="L71">
        <f t="shared" si="7"/>
        <v>27.639999999999986</v>
      </c>
      <c r="O71" s="3">
        <v>0.15736900000000001</v>
      </c>
    </row>
    <row r="72" spans="1:17" ht="14.25" thickBot="1">
      <c r="A72">
        <v>395</v>
      </c>
      <c r="B72" t="s">
        <v>12</v>
      </c>
      <c r="C72">
        <v>0</v>
      </c>
      <c r="D72" t="s">
        <v>42</v>
      </c>
      <c r="E72">
        <v>-9.6705900000000007</v>
      </c>
      <c r="F72">
        <v>-74.105400000000003</v>
      </c>
      <c r="H72">
        <v>62.59</v>
      </c>
      <c r="J72">
        <f t="shared" si="6"/>
        <v>78.78</v>
      </c>
      <c r="K72">
        <v>38.630000000000003</v>
      </c>
      <c r="L72">
        <f t="shared" si="7"/>
        <v>141.37</v>
      </c>
      <c r="N72" t="s">
        <v>43</v>
      </c>
      <c r="O72" s="8">
        <v>0</v>
      </c>
    </row>
    <row r="73" spans="1:17" ht="14.25" thickBot="1">
      <c r="A73">
        <v>398</v>
      </c>
      <c r="B73" t="s">
        <v>10</v>
      </c>
      <c r="C73">
        <v>1</v>
      </c>
      <c r="D73" t="s">
        <v>42</v>
      </c>
      <c r="E73">
        <v>-8.4271700000000003</v>
      </c>
      <c r="F73">
        <v>-74.501099999999994</v>
      </c>
      <c r="H73">
        <v>89.23</v>
      </c>
      <c r="J73">
        <f t="shared" si="6"/>
        <v>42.850000000000009</v>
      </c>
      <c r="K73">
        <v>133.62</v>
      </c>
      <c r="L73">
        <f t="shared" si="7"/>
        <v>46.379999999999995</v>
      </c>
      <c r="O73" s="2">
        <v>6.7502000000000006E-2</v>
      </c>
    </row>
    <row r="74" spans="1:17" ht="14.25" thickBot="1">
      <c r="A74">
        <v>400</v>
      </c>
      <c r="B74" t="s">
        <v>10</v>
      </c>
      <c r="C74">
        <v>1</v>
      </c>
      <c r="D74" t="s">
        <v>42</v>
      </c>
      <c r="E74">
        <v>-9.2414900000000006</v>
      </c>
      <c r="F74">
        <v>-74.436000000000007</v>
      </c>
      <c r="H74">
        <v>91.23</v>
      </c>
      <c r="J74">
        <f t="shared" si="6"/>
        <v>6.2000000000000028</v>
      </c>
      <c r="K74">
        <v>82.57</v>
      </c>
      <c r="L74">
        <f t="shared" si="7"/>
        <v>97.43</v>
      </c>
      <c r="O74" s="2">
        <v>2.1399000000000001E-2</v>
      </c>
    </row>
    <row r="75" spans="1:17" ht="14.25" thickBot="1">
      <c r="A75">
        <v>405</v>
      </c>
      <c r="B75" t="s">
        <v>12</v>
      </c>
      <c r="C75">
        <v>0</v>
      </c>
      <c r="D75" t="s">
        <v>42</v>
      </c>
      <c r="E75">
        <v>-8.5306499999999996</v>
      </c>
      <c r="F75">
        <v>-74.355699999999999</v>
      </c>
      <c r="H75">
        <v>109.99</v>
      </c>
      <c r="J75">
        <f t="shared" si="6"/>
        <v>88.429999999999993</v>
      </c>
      <c r="K75">
        <v>158.44</v>
      </c>
      <c r="L75">
        <f t="shared" si="7"/>
        <v>21.560000000000002</v>
      </c>
      <c r="O75" s="2">
        <v>0.13539899999999999</v>
      </c>
      <c r="P75" s="2">
        <v>7.9389999999999999E-3</v>
      </c>
      <c r="Q75" s="2">
        <v>0.14260800000000001</v>
      </c>
    </row>
    <row r="76" spans="1:17" ht="15" thickBot="1">
      <c r="A76">
        <v>412</v>
      </c>
      <c r="B76" t="s">
        <v>12</v>
      </c>
      <c r="C76">
        <v>0</v>
      </c>
      <c r="D76" t="s">
        <v>42</v>
      </c>
      <c r="E76">
        <v>-7.9413499999999999</v>
      </c>
      <c r="F76">
        <v>-74.713099999999997</v>
      </c>
      <c r="H76">
        <v>55.19</v>
      </c>
      <c r="J76">
        <f t="shared" si="6"/>
        <v>31.800000000000011</v>
      </c>
      <c r="K76">
        <v>156.61000000000001</v>
      </c>
      <c r="L76">
        <f t="shared" si="7"/>
        <v>23.389999999999986</v>
      </c>
      <c r="O76" s="3">
        <v>0.20382</v>
      </c>
    </row>
    <row r="77" spans="1:17" ht="14.25" thickBot="1">
      <c r="A77">
        <v>414</v>
      </c>
      <c r="B77" t="s">
        <v>10</v>
      </c>
      <c r="C77">
        <v>1</v>
      </c>
      <c r="D77" t="s">
        <v>36</v>
      </c>
      <c r="E77">
        <v>-11.111499999999999</v>
      </c>
      <c r="F77">
        <v>-66.425600000000003</v>
      </c>
      <c r="H77">
        <v>79.61</v>
      </c>
      <c r="J77">
        <f t="shared" si="6"/>
        <v>5.0700000000000074</v>
      </c>
      <c r="K77">
        <v>95.32</v>
      </c>
      <c r="L77">
        <f t="shared" si="7"/>
        <v>84.68</v>
      </c>
      <c r="O77" s="2">
        <v>1.2818E-2</v>
      </c>
      <c r="P77" s="2">
        <v>9.6058000000000004E-2</v>
      </c>
    </row>
    <row r="78" spans="1:17" ht="14.25" thickBot="1">
      <c r="A78">
        <v>418</v>
      </c>
      <c r="B78" t="s">
        <v>10</v>
      </c>
      <c r="C78">
        <v>1</v>
      </c>
      <c r="D78" t="s">
        <v>36</v>
      </c>
      <c r="E78">
        <v>-12.1518</v>
      </c>
      <c r="F78">
        <v>-71.066599999999994</v>
      </c>
      <c r="H78">
        <v>99.93</v>
      </c>
      <c r="J78">
        <f t="shared" si="6"/>
        <v>55.569999999999993</v>
      </c>
      <c r="K78">
        <v>135.63999999999999</v>
      </c>
      <c r="L78">
        <f t="shared" si="7"/>
        <v>44.360000000000014</v>
      </c>
      <c r="O78" s="2">
        <v>0.20516200000000001</v>
      </c>
    </row>
    <row r="79" spans="1:17" ht="14.25" thickBot="1">
      <c r="A79">
        <v>423</v>
      </c>
      <c r="B79" t="s">
        <v>10</v>
      </c>
      <c r="C79">
        <v>1</v>
      </c>
      <c r="D79" t="s">
        <v>36</v>
      </c>
      <c r="E79">
        <v>-12.6096</v>
      </c>
      <c r="F79">
        <v>-70.2089</v>
      </c>
      <c r="H79">
        <v>67.34</v>
      </c>
      <c r="J79">
        <f t="shared" si="6"/>
        <v>28.25</v>
      </c>
      <c r="K79">
        <v>140.91</v>
      </c>
      <c r="L79">
        <f t="shared" si="7"/>
        <v>39.090000000000003</v>
      </c>
      <c r="O79">
        <v>0.23389199999999999</v>
      </c>
    </row>
    <row r="80" spans="1:17" ht="14.25" thickBot="1">
      <c r="A80">
        <v>426</v>
      </c>
      <c r="B80" t="s">
        <v>10</v>
      </c>
      <c r="C80">
        <v>1</v>
      </c>
      <c r="D80" t="s">
        <v>36</v>
      </c>
      <c r="E80">
        <v>-12.4247</v>
      </c>
      <c r="F80">
        <v>-70.703100000000006</v>
      </c>
      <c r="H80">
        <v>73.61</v>
      </c>
      <c r="J80">
        <f t="shared" si="6"/>
        <v>10.620000000000005</v>
      </c>
      <c r="K80">
        <v>117.01</v>
      </c>
      <c r="L80">
        <f t="shared" si="7"/>
        <v>62.989999999999995</v>
      </c>
      <c r="O80" s="2">
        <v>0.50167499999999998</v>
      </c>
    </row>
    <row r="81" spans="1:16" ht="14.25">
      <c r="A81">
        <v>427</v>
      </c>
      <c r="B81" t="s">
        <v>12</v>
      </c>
      <c r="C81">
        <v>0</v>
      </c>
      <c r="D81" t="s">
        <v>36</v>
      </c>
      <c r="E81">
        <v>-12.4841</v>
      </c>
      <c r="F81">
        <v>-70.581400000000002</v>
      </c>
      <c r="H81">
        <v>73.52</v>
      </c>
      <c r="J81">
        <f t="shared" si="6"/>
        <v>14.969999999999999</v>
      </c>
      <c r="K81">
        <v>121.45</v>
      </c>
      <c r="L81">
        <f t="shared" si="7"/>
        <v>58.55</v>
      </c>
      <c r="O81" s="3">
        <v>0.29165600000000003</v>
      </c>
    </row>
    <row r="82" spans="1:16" ht="14.25" thickBot="1">
      <c r="A82">
        <v>428</v>
      </c>
      <c r="B82" t="s">
        <v>12</v>
      </c>
      <c r="C82">
        <v>0</v>
      </c>
      <c r="D82" t="s">
        <v>36</v>
      </c>
      <c r="E82">
        <v>-12.447900000000001</v>
      </c>
      <c r="F82">
        <v>-70.692999999999998</v>
      </c>
      <c r="H82">
        <v>74.48</v>
      </c>
      <c r="J82">
        <f t="shared" si="6"/>
        <v>3.8200000000000074</v>
      </c>
      <c r="K82">
        <v>109.34</v>
      </c>
      <c r="L82">
        <f t="shared" si="7"/>
        <v>70.66</v>
      </c>
      <c r="O82" s="6">
        <v>0.75301899999999999</v>
      </c>
    </row>
    <row r="83" spans="1:16" ht="14.25" thickBot="1">
      <c r="A83">
        <v>429</v>
      </c>
      <c r="B83" t="s">
        <v>10</v>
      </c>
      <c r="C83">
        <v>1</v>
      </c>
      <c r="D83" t="s">
        <v>36</v>
      </c>
      <c r="E83">
        <v>-12.4467</v>
      </c>
      <c r="F83">
        <v>-70.654600000000002</v>
      </c>
      <c r="H83">
        <v>76.650000000000006</v>
      </c>
      <c r="J83">
        <f t="shared" si="6"/>
        <v>63.680000000000007</v>
      </c>
      <c r="K83">
        <v>167.03</v>
      </c>
      <c r="L83">
        <f t="shared" si="7"/>
        <v>12.969999999999999</v>
      </c>
      <c r="O83" s="2">
        <v>0.75301899999999999</v>
      </c>
    </row>
    <row r="84" spans="1:16" ht="14.25" thickBot="1">
      <c r="A84">
        <v>430</v>
      </c>
      <c r="B84" t="s">
        <v>10</v>
      </c>
      <c r="C84">
        <v>1</v>
      </c>
      <c r="D84" t="s">
        <v>36</v>
      </c>
      <c r="E84">
        <v>-12.5687</v>
      </c>
      <c r="F84">
        <v>-70.460899999999995</v>
      </c>
      <c r="H84">
        <v>66.12</v>
      </c>
      <c r="J84">
        <f t="shared" si="6"/>
        <v>1.3399999999999892</v>
      </c>
      <c r="K84">
        <v>112.54</v>
      </c>
      <c r="L84">
        <f t="shared" si="7"/>
        <v>67.459999999999994</v>
      </c>
      <c r="O84" s="2">
        <v>0.55541700000000005</v>
      </c>
    </row>
    <row r="85" spans="1:16">
      <c r="A85">
        <v>435</v>
      </c>
      <c r="B85" t="s">
        <v>12</v>
      </c>
      <c r="C85">
        <v>0</v>
      </c>
      <c r="D85" t="s">
        <v>40</v>
      </c>
      <c r="E85">
        <v>-5.0781599999999996</v>
      </c>
      <c r="F85">
        <v>-67.003399999999999</v>
      </c>
      <c r="H85">
        <v>47.19</v>
      </c>
      <c r="J85">
        <f t="shared" si="6"/>
        <v>17</v>
      </c>
      <c r="K85">
        <v>149.81</v>
      </c>
      <c r="L85">
        <f t="shared" si="7"/>
        <v>30.189999999999998</v>
      </c>
      <c r="O85">
        <v>0.49938500000000002</v>
      </c>
    </row>
    <row r="86" spans="1:16" ht="15" thickBot="1">
      <c r="A86">
        <v>436</v>
      </c>
      <c r="B86" t="s">
        <v>10</v>
      </c>
      <c r="C86">
        <v>1</v>
      </c>
      <c r="D86" t="s">
        <v>36</v>
      </c>
      <c r="E86">
        <v>-12.5724</v>
      </c>
      <c r="F86">
        <v>-70.446299999999994</v>
      </c>
      <c r="H86">
        <v>69</v>
      </c>
      <c r="J86">
        <f t="shared" si="6"/>
        <v>6.480000000000004</v>
      </c>
      <c r="K86">
        <v>104.52</v>
      </c>
      <c r="L86">
        <f t="shared" si="7"/>
        <v>75.48</v>
      </c>
      <c r="O86" s="3">
        <v>0.55541700000000005</v>
      </c>
    </row>
    <row r="87" spans="1:16" ht="14.25" thickBot="1">
      <c r="A87">
        <v>437</v>
      </c>
      <c r="B87" t="s">
        <v>10</v>
      </c>
      <c r="C87">
        <v>1</v>
      </c>
      <c r="D87" t="s">
        <v>40</v>
      </c>
      <c r="E87">
        <v>-6.23637</v>
      </c>
      <c r="F87">
        <v>-68.102900000000005</v>
      </c>
      <c r="H87">
        <v>51.38</v>
      </c>
      <c r="J87">
        <f t="shared" si="6"/>
        <v>20.949999999999996</v>
      </c>
      <c r="K87">
        <v>149.57</v>
      </c>
      <c r="L87">
        <f t="shared" si="7"/>
        <v>30.430000000000007</v>
      </c>
      <c r="O87" s="2">
        <v>5.2830000000000004E-3</v>
      </c>
    </row>
    <row r="88" spans="1:16">
      <c r="A88">
        <v>438</v>
      </c>
      <c r="B88" t="s">
        <v>10</v>
      </c>
      <c r="C88">
        <v>1</v>
      </c>
      <c r="D88" t="s">
        <v>40</v>
      </c>
      <c r="E88">
        <v>-6.5492100000000004</v>
      </c>
      <c r="F88">
        <v>-68.898200000000003</v>
      </c>
      <c r="H88">
        <v>103.5</v>
      </c>
      <c r="J88">
        <f t="shared" si="6"/>
        <v>86.25</v>
      </c>
      <c r="K88">
        <v>162.75</v>
      </c>
      <c r="L88">
        <f t="shared" si="7"/>
        <v>17.25</v>
      </c>
      <c r="O88" s="7">
        <v>0</v>
      </c>
    </row>
    <row r="89" spans="1:16">
      <c r="A89">
        <v>439</v>
      </c>
      <c r="B89" t="s">
        <v>12</v>
      </c>
      <c r="C89">
        <v>0</v>
      </c>
      <c r="D89" t="s">
        <v>40</v>
      </c>
      <c r="E89">
        <v>-3.6632199999999999</v>
      </c>
      <c r="F89">
        <v>-66.152299999999997</v>
      </c>
      <c r="H89">
        <v>92.08</v>
      </c>
      <c r="J89">
        <f t="shared" si="6"/>
        <v>37.049999999999997</v>
      </c>
      <c r="K89">
        <v>124.97</v>
      </c>
      <c r="L89">
        <f t="shared" si="7"/>
        <v>55.03</v>
      </c>
      <c r="O89" s="8">
        <v>0</v>
      </c>
    </row>
    <row r="90" spans="1:16" ht="15" thickBot="1">
      <c r="A90">
        <v>440</v>
      </c>
      <c r="B90" t="s">
        <v>10</v>
      </c>
      <c r="C90">
        <v>1</v>
      </c>
      <c r="D90" t="s">
        <v>40</v>
      </c>
      <c r="E90">
        <v>-6.5995900000000001</v>
      </c>
      <c r="F90">
        <v>-69.218500000000006</v>
      </c>
      <c r="N90" t="s">
        <v>44</v>
      </c>
      <c r="O90" s="3">
        <v>5.4260000000000003E-3</v>
      </c>
    </row>
    <row r="91" spans="1:16" ht="15" thickBot="1">
      <c r="A91">
        <v>441</v>
      </c>
      <c r="B91" t="s">
        <v>10</v>
      </c>
      <c r="C91">
        <v>1</v>
      </c>
      <c r="D91" t="s">
        <v>40</v>
      </c>
      <c r="E91">
        <v>-6.5827099999999996</v>
      </c>
      <c r="F91">
        <v>-69.001000000000005</v>
      </c>
      <c r="H91">
        <v>108.43</v>
      </c>
      <c r="J91">
        <f>ABS(H91-L91)</f>
        <v>83.950000000000017</v>
      </c>
      <c r="K91">
        <v>155.52000000000001</v>
      </c>
      <c r="L91">
        <f>180-K91</f>
        <v>24.47999999999999</v>
      </c>
      <c r="O91" s="2">
        <v>0.13362599999999999</v>
      </c>
      <c r="P91" s="3">
        <v>0.48166799999999999</v>
      </c>
    </row>
    <row r="92" spans="1:16" ht="14.25" thickBot="1">
      <c r="A92">
        <v>443</v>
      </c>
      <c r="B92" t="s">
        <v>10</v>
      </c>
      <c r="C92">
        <v>1</v>
      </c>
      <c r="D92" t="s">
        <v>40</v>
      </c>
      <c r="E92">
        <v>-3.4142600000000001</v>
      </c>
      <c r="F92">
        <v>-66.0565</v>
      </c>
      <c r="N92" t="s">
        <v>44</v>
      </c>
      <c r="O92" s="2">
        <v>5.4219999999999997E-3</v>
      </c>
    </row>
    <row r="93" spans="1:16" ht="14.25">
      <c r="A93">
        <v>444</v>
      </c>
      <c r="B93" t="s">
        <v>10</v>
      </c>
      <c r="C93">
        <v>1</v>
      </c>
      <c r="D93" t="s">
        <v>40</v>
      </c>
      <c r="E93">
        <v>-6.47079</v>
      </c>
      <c r="F93">
        <v>-68.474000000000004</v>
      </c>
      <c r="H93">
        <v>86.87</v>
      </c>
      <c r="J93">
        <f t="shared" ref="J93:J110" si="8">ABS(H93-L93)</f>
        <v>58.569999999999993</v>
      </c>
      <c r="K93">
        <v>151.69999999999999</v>
      </c>
      <c r="L93">
        <f t="shared" ref="L93:L110" si="9">180-K93</f>
        <v>28.300000000000011</v>
      </c>
      <c r="O93" s="3">
        <v>3.1165000000000002E-2</v>
      </c>
    </row>
    <row r="94" spans="1:16">
      <c r="A94">
        <v>445</v>
      </c>
      <c r="B94" t="s">
        <v>10</v>
      </c>
      <c r="C94">
        <v>1</v>
      </c>
      <c r="D94" t="s">
        <v>45</v>
      </c>
      <c r="E94">
        <v>-6.8385699999999998</v>
      </c>
      <c r="F94">
        <v>-69.770300000000006</v>
      </c>
      <c r="H94">
        <v>66.8</v>
      </c>
      <c r="J94">
        <f t="shared" si="8"/>
        <v>58.67</v>
      </c>
      <c r="K94">
        <v>171.87</v>
      </c>
      <c r="L94">
        <f t="shared" si="9"/>
        <v>8.1299999999999955</v>
      </c>
      <c r="O94">
        <v>0.50021000000000004</v>
      </c>
    </row>
    <row r="95" spans="1:16" ht="14.25">
      <c r="A95">
        <v>446</v>
      </c>
      <c r="B95" t="s">
        <v>10</v>
      </c>
      <c r="C95">
        <v>1</v>
      </c>
      <c r="D95" t="s">
        <v>45</v>
      </c>
      <c r="E95">
        <v>-7.1050500000000003</v>
      </c>
      <c r="F95">
        <v>-69.794499999999999</v>
      </c>
      <c r="H95">
        <v>68.88</v>
      </c>
      <c r="J95">
        <f t="shared" si="8"/>
        <v>31.009999999999991</v>
      </c>
      <c r="K95">
        <v>142.13</v>
      </c>
      <c r="L95">
        <f t="shared" si="9"/>
        <v>37.870000000000005</v>
      </c>
      <c r="O95" s="3">
        <v>4.3378E-2</v>
      </c>
    </row>
    <row r="96" spans="1:16">
      <c r="A96">
        <v>447</v>
      </c>
      <c r="B96" t="s">
        <v>10</v>
      </c>
      <c r="C96">
        <v>1</v>
      </c>
      <c r="D96" t="s">
        <v>45</v>
      </c>
      <c r="E96">
        <v>-7.3217100000000004</v>
      </c>
      <c r="F96">
        <v>-69.970100000000002</v>
      </c>
      <c r="H96">
        <v>73.12</v>
      </c>
      <c r="J96">
        <f t="shared" si="8"/>
        <v>16.53</v>
      </c>
      <c r="K96">
        <v>123.41</v>
      </c>
      <c r="L96">
        <f t="shared" si="9"/>
        <v>56.59</v>
      </c>
      <c r="O96" s="8">
        <v>0</v>
      </c>
    </row>
    <row r="97" spans="1:16" ht="14.25">
      <c r="A97">
        <v>448</v>
      </c>
      <c r="B97" t="s">
        <v>10</v>
      </c>
      <c r="C97">
        <v>1</v>
      </c>
      <c r="D97" t="s">
        <v>45</v>
      </c>
      <c r="E97">
        <v>-7.2228199999999996</v>
      </c>
      <c r="F97">
        <v>-69.878299999999996</v>
      </c>
      <c r="H97">
        <v>92.37</v>
      </c>
      <c r="J97">
        <f t="shared" si="8"/>
        <v>58.680000000000007</v>
      </c>
      <c r="K97">
        <v>146.31</v>
      </c>
      <c r="L97">
        <f t="shared" si="9"/>
        <v>33.69</v>
      </c>
      <c r="O97" s="3">
        <v>5.9264999999999998E-2</v>
      </c>
    </row>
    <row r="98" spans="1:16" ht="14.25">
      <c r="A98">
        <v>451</v>
      </c>
      <c r="B98" t="s">
        <v>10</v>
      </c>
      <c r="C98">
        <v>1</v>
      </c>
      <c r="D98" t="s">
        <v>45</v>
      </c>
      <c r="E98">
        <v>-6.9614599999999998</v>
      </c>
      <c r="F98">
        <v>-69.748800000000003</v>
      </c>
      <c r="H98">
        <v>90</v>
      </c>
      <c r="J98">
        <f t="shared" si="8"/>
        <v>53.97</v>
      </c>
      <c r="K98">
        <v>143.97</v>
      </c>
      <c r="L98">
        <f t="shared" si="9"/>
        <v>36.03</v>
      </c>
      <c r="O98" s="3">
        <v>7.1320999999999996E-2</v>
      </c>
    </row>
    <row r="99" spans="1:16" ht="14.25">
      <c r="A99">
        <v>457</v>
      </c>
      <c r="B99" t="s">
        <v>10</v>
      </c>
      <c r="C99">
        <v>1</v>
      </c>
      <c r="D99" t="s">
        <v>45</v>
      </c>
      <c r="E99">
        <v>-6.8939599999999999</v>
      </c>
      <c r="F99">
        <v>-69.777000000000001</v>
      </c>
      <c r="H99">
        <v>110.38</v>
      </c>
      <c r="J99">
        <f t="shared" si="8"/>
        <v>68.5</v>
      </c>
      <c r="K99">
        <v>138.12</v>
      </c>
      <c r="L99">
        <f t="shared" si="9"/>
        <v>41.879999999999995</v>
      </c>
      <c r="O99" s="3">
        <v>0.50021000000000004</v>
      </c>
    </row>
    <row r="100" spans="1:16" ht="14.25">
      <c r="A100">
        <v>465</v>
      </c>
      <c r="B100" t="s">
        <v>10</v>
      </c>
      <c r="C100">
        <v>1</v>
      </c>
      <c r="D100" t="s">
        <v>46</v>
      </c>
      <c r="E100">
        <v>-11.272399999999999</v>
      </c>
      <c r="F100">
        <v>-66.281999999999996</v>
      </c>
      <c r="H100">
        <v>70.08</v>
      </c>
      <c r="J100">
        <f t="shared" si="8"/>
        <v>22.730000000000004</v>
      </c>
      <c r="K100">
        <v>132.65</v>
      </c>
      <c r="L100">
        <f t="shared" si="9"/>
        <v>47.349999999999994</v>
      </c>
      <c r="O100" s="9">
        <v>0</v>
      </c>
    </row>
    <row r="101" spans="1:16" ht="14.25" thickBot="1">
      <c r="A101">
        <v>468</v>
      </c>
      <c r="B101" t="s">
        <v>10</v>
      </c>
      <c r="C101">
        <v>1</v>
      </c>
      <c r="D101" t="s">
        <v>46</v>
      </c>
      <c r="E101">
        <v>-13.1282</v>
      </c>
      <c r="F101">
        <v>-67.172200000000004</v>
      </c>
      <c r="H101">
        <v>40.03</v>
      </c>
      <c r="J101">
        <f t="shared" si="8"/>
        <v>20.449999999999989</v>
      </c>
      <c r="K101">
        <v>160.41999999999999</v>
      </c>
      <c r="L101">
        <f t="shared" si="9"/>
        <v>19.580000000000013</v>
      </c>
      <c r="O101">
        <v>7.0618E-2</v>
      </c>
    </row>
    <row r="102" spans="1:16" ht="14.25" thickBot="1">
      <c r="A102">
        <v>470</v>
      </c>
      <c r="B102" t="s">
        <v>10</v>
      </c>
      <c r="C102">
        <v>1</v>
      </c>
      <c r="D102" t="s">
        <v>46</v>
      </c>
      <c r="E102">
        <v>-13.1846</v>
      </c>
      <c r="F102">
        <v>-67.231999999999999</v>
      </c>
      <c r="H102">
        <v>64.930000000000007</v>
      </c>
      <c r="J102">
        <f t="shared" si="8"/>
        <v>22.920000000000016</v>
      </c>
      <c r="K102">
        <v>137.99</v>
      </c>
      <c r="L102">
        <f t="shared" si="9"/>
        <v>42.009999999999991</v>
      </c>
      <c r="O102" s="2">
        <v>1.312E-3</v>
      </c>
    </row>
    <row r="103" spans="1:16" ht="14.25" thickBot="1">
      <c r="A103">
        <v>471</v>
      </c>
      <c r="B103" t="s">
        <v>10</v>
      </c>
      <c r="C103">
        <v>1</v>
      </c>
      <c r="D103" t="s">
        <v>46</v>
      </c>
      <c r="E103">
        <v>-13.241400000000001</v>
      </c>
      <c r="F103">
        <v>-67.264499999999998</v>
      </c>
      <c r="H103">
        <v>108.61</v>
      </c>
      <c r="J103">
        <f t="shared" si="8"/>
        <v>42.819999999999993</v>
      </c>
      <c r="K103">
        <v>114.21</v>
      </c>
      <c r="L103">
        <f t="shared" si="9"/>
        <v>65.790000000000006</v>
      </c>
      <c r="O103" s="2">
        <v>1.312E-3</v>
      </c>
    </row>
    <row r="104" spans="1:16" ht="14.25" thickBot="1">
      <c r="A104">
        <v>478</v>
      </c>
      <c r="B104" t="s">
        <v>10</v>
      </c>
      <c r="C104">
        <v>1</v>
      </c>
      <c r="D104" t="s">
        <v>46</v>
      </c>
      <c r="E104">
        <v>-13.574999999999999</v>
      </c>
      <c r="F104">
        <v>-67.366500000000002</v>
      </c>
      <c r="H104">
        <v>59.05</v>
      </c>
      <c r="J104">
        <f t="shared" si="8"/>
        <v>15.320000000000007</v>
      </c>
      <c r="K104">
        <v>136.27000000000001</v>
      </c>
      <c r="L104">
        <f t="shared" si="9"/>
        <v>43.72999999999999</v>
      </c>
      <c r="O104" s="2">
        <v>0.540161</v>
      </c>
    </row>
    <row r="105" spans="1:16">
      <c r="A105">
        <v>479</v>
      </c>
      <c r="B105" t="s">
        <v>10</v>
      </c>
      <c r="C105">
        <v>1</v>
      </c>
      <c r="D105" t="s">
        <v>46</v>
      </c>
      <c r="E105">
        <v>-13.632199999999999</v>
      </c>
      <c r="F105">
        <v>-67.385000000000005</v>
      </c>
      <c r="H105">
        <v>58.91</v>
      </c>
      <c r="J105">
        <f t="shared" si="8"/>
        <v>7.0300000000000011</v>
      </c>
      <c r="K105">
        <v>128.12</v>
      </c>
      <c r="L105">
        <f t="shared" si="9"/>
        <v>51.879999999999995</v>
      </c>
      <c r="O105" s="7">
        <v>0</v>
      </c>
    </row>
    <row r="106" spans="1:16" ht="14.25" thickBot="1">
      <c r="A106">
        <v>480</v>
      </c>
      <c r="B106" t="s">
        <v>10</v>
      </c>
      <c r="C106">
        <v>1</v>
      </c>
      <c r="D106" t="s">
        <v>46</v>
      </c>
      <c r="E106">
        <v>-13.763500000000001</v>
      </c>
      <c r="F106">
        <v>-67.477999999999994</v>
      </c>
      <c r="H106">
        <v>105.28</v>
      </c>
      <c r="J106">
        <f t="shared" si="8"/>
        <v>44.33</v>
      </c>
      <c r="K106">
        <v>119.05</v>
      </c>
      <c r="L106">
        <f t="shared" si="9"/>
        <v>60.95</v>
      </c>
      <c r="O106" s="7">
        <v>0</v>
      </c>
    </row>
    <row r="107" spans="1:16" ht="14.25" thickBot="1">
      <c r="A107">
        <v>483</v>
      </c>
      <c r="B107" t="s">
        <v>10</v>
      </c>
      <c r="C107">
        <v>1</v>
      </c>
      <c r="D107" t="s">
        <v>46</v>
      </c>
      <c r="E107">
        <v>-13.446999999999999</v>
      </c>
      <c r="F107">
        <v>-67.381900000000002</v>
      </c>
      <c r="H107">
        <v>110.48</v>
      </c>
      <c r="J107">
        <f t="shared" si="8"/>
        <v>31.620000000000005</v>
      </c>
      <c r="K107">
        <v>101.14</v>
      </c>
      <c r="L107">
        <f t="shared" si="9"/>
        <v>78.86</v>
      </c>
      <c r="O107" s="2">
        <v>0.120477</v>
      </c>
    </row>
    <row r="108" spans="1:16" ht="14.25" thickBot="1">
      <c r="A108">
        <v>485</v>
      </c>
      <c r="B108" t="s">
        <v>10</v>
      </c>
      <c r="C108">
        <v>1</v>
      </c>
      <c r="D108" t="s">
        <v>36</v>
      </c>
      <c r="E108">
        <v>-12.621</v>
      </c>
      <c r="F108">
        <v>-70.250900000000001</v>
      </c>
      <c r="H108">
        <v>106.4</v>
      </c>
      <c r="J108">
        <f t="shared" si="8"/>
        <v>58.03</v>
      </c>
      <c r="K108">
        <v>131.63</v>
      </c>
      <c r="L108">
        <f t="shared" si="9"/>
        <v>48.370000000000005</v>
      </c>
      <c r="O108" s="2">
        <v>0.31189</v>
      </c>
      <c r="P108" s="2">
        <v>0.23389199999999999</v>
      </c>
    </row>
    <row r="109" spans="1:16" ht="14.25" thickBot="1">
      <c r="A109">
        <v>487</v>
      </c>
      <c r="B109" t="s">
        <v>10</v>
      </c>
      <c r="C109">
        <v>1</v>
      </c>
      <c r="D109" t="s">
        <v>46</v>
      </c>
      <c r="E109">
        <v>-14.2218</v>
      </c>
      <c r="F109">
        <v>-67.521500000000003</v>
      </c>
      <c r="H109">
        <v>106.18</v>
      </c>
      <c r="J109">
        <f t="shared" si="8"/>
        <v>11.860000000000014</v>
      </c>
      <c r="K109">
        <v>85.68</v>
      </c>
      <c r="L109">
        <f t="shared" si="9"/>
        <v>94.32</v>
      </c>
      <c r="O109" s="2">
        <v>0.11330800000000001</v>
      </c>
    </row>
    <row r="110" spans="1:16" ht="14.25" thickBot="1">
      <c r="A110">
        <v>490</v>
      </c>
      <c r="B110" t="s">
        <v>10</v>
      </c>
      <c r="C110">
        <v>1</v>
      </c>
      <c r="D110" t="s">
        <v>46</v>
      </c>
      <c r="E110">
        <v>-14.095499999999999</v>
      </c>
      <c r="F110">
        <v>-67.514399999999995</v>
      </c>
      <c r="H110">
        <v>80.92</v>
      </c>
      <c r="J110">
        <f t="shared" si="8"/>
        <v>15.780000000000001</v>
      </c>
      <c r="K110">
        <v>114.86</v>
      </c>
      <c r="L110">
        <f t="shared" si="9"/>
        <v>65.14</v>
      </c>
      <c r="O110" s="2">
        <v>0.11326600000000001</v>
      </c>
      <c r="P110" s="2">
        <v>0.17929999999999999</v>
      </c>
    </row>
    <row r="111" spans="1:16" ht="14.25" thickBot="1">
      <c r="A111">
        <v>491</v>
      </c>
      <c r="B111" t="s">
        <v>10</v>
      </c>
      <c r="C111">
        <v>1</v>
      </c>
      <c r="D111" t="s">
        <v>47</v>
      </c>
      <c r="E111">
        <v>-7.6900300000000001</v>
      </c>
      <c r="F111">
        <v>-66.073599999999999</v>
      </c>
      <c r="N111" t="s">
        <v>44</v>
      </c>
      <c r="O111" s="2">
        <v>9.8354999999999998E-2</v>
      </c>
    </row>
    <row r="112" spans="1:16" ht="14.25" thickBot="1">
      <c r="A112">
        <v>493</v>
      </c>
      <c r="B112" t="s">
        <v>10</v>
      </c>
      <c r="C112">
        <v>1</v>
      </c>
      <c r="D112" t="s">
        <v>47</v>
      </c>
      <c r="E112">
        <v>-8.5594900000000003</v>
      </c>
      <c r="F112">
        <v>-67.368899999999996</v>
      </c>
      <c r="H112">
        <v>52</v>
      </c>
      <c r="J112">
        <f t="shared" ref="J112:J149" si="10">ABS(H112-L112)</f>
        <v>17.300000000000011</v>
      </c>
      <c r="K112">
        <v>145.30000000000001</v>
      </c>
      <c r="L112">
        <f t="shared" ref="L112:L149" si="11">180-K112</f>
        <v>34.699999999999989</v>
      </c>
      <c r="O112" s="2">
        <v>7.1959999999999996E-2</v>
      </c>
    </row>
    <row r="113" spans="1:16" ht="14.25" thickBot="1">
      <c r="A113">
        <v>494</v>
      </c>
      <c r="B113" t="s">
        <v>10</v>
      </c>
      <c r="C113">
        <v>1</v>
      </c>
      <c r="D113" t="s">
        <v>47</v>
      </c>
      <c r="E113">
        <v>-7.8273900000000003</v>
      </c>
      <c r="F113">
        <v>-67.090299999999999</v>
      </c>
      <c r="H113">
        <v>111.04</v>
      </c>
      <c r="J113">
        <f t="shared" si="10"/>
        <v>64.410000000000011</v>
      </c>
      <c r="K113">
        <v>133.37</v>
      </c>
      <c r="L113">
        <f t="shared" si="11"/>
        <v>46.629999999999995</v>
      </c>
      <c r="O113">
        <v>0.10845</v>
      </c>
    </row>
    <row r="114" spans="1:16" ht="14.25" thickBot="1">
      <c r="A114">
        <v>495</v>
      </c>
      <c r="B114" t="s">
        <v>10</v>
      </c>
      <c r="C114">
        <v>1</v>
      </c>
      <c r="D114" t="s">
        <v>47</v>
      </c>
      <c r="E114">
        <v>-7.5532899999999996</v>
      </c>
      <c r="F114">
        <v>-65.363100000000003</v>
      </c>
      <c r="H114">
        <v>70.73</v>
      </c>
      <c r="J114">
        <f t="shared" si="10"/>
        <v>31.179999999999993</v>
      </c>
      <c r="K114">
        <v>140.44999999999999</v>
      </c>
      <c r="L114">
        <f t="shared" si="11"/>
        <v>39.550000000000011</v>
      </c>
      <c r="O114" s="2">
        <v>8.5909999999999997E-3</v>
      </c>
    </row>
    <row r="115" spans="1:16" ht="14.25" thickBot="1">
      <c r="A115">
        <v>497</v>
      </c>
      <c r="B115" t="s">
        <v>10</v>
      </c>
      <c r="C115">
        <v>1</v>
      </c>
      <c r="D115" t="s">
        <v>47</v>
      </c>
      <c r="E115">
        <v>-8.7926800000000007</v>
      </c>
      <c r="F115">
        <v>-69.144599999999997</v>
      </c>
      <c r="H115">
        <v>56.31</v>
      </c>
      <c r="J115">
        <f t="shared" si="10"/>
        <v>0.64000000000000057</v>
      </c>
      <c r="K115">
        <v>123.05</v>
      </c>
      <c r="L115">
        <f t="shared" si="11"/>
        <v>56.95</v>
      </c>
      <c r="O115" s="7">
        <v>0</v>
      </c>
    </row>
    <row r="116" spans="1:16" ht="14.25" thickBot="1">
      <c r="A116">
        <v>498</v>
      </c>
      <c r="B116" t="s">
        <v>12</v>
      </c>
      <c r="C116">
        <v>0</v>
      </c>
      <c r="D116" t="s">
        <v>47</v>
      </c>
      <c r="E116">
        <v>-8.8239300000000007</v>
      </c>
      <c r="F116">
        <v>-69.183099999999996</v>
      </c>
      <c r="H116">
        <v>84.7</v>
      </c>
      <c r="J116">
        <f t="shared" si="10"/>
        <v>42.709999999999994</v>
      </c>
      <c r="K116">
        <v>138.01</v>
      </c>
      <c r="L116">
        <f t="shared" si="11"/>
        <v>41.990000000000009</v>
      </c>
      <c r="O116" s="2">
        <v>1.0631E-2</v>
      </c>
    </row>
    <row r="117" spans="1:16" ht="14.25" thickBot="1">
      <c r="A117">
        <v>500</v>
      </c>
      <c r="B117" t="s">
        <v>10</v>
      </c>
      <c r="C117">
        <v>1</v>
      </c>
      <c r="D117" t="s">
        <v>47</v>
      </c>
      <c r="E117">
        <v>-8.8601399999999995</v>
      </c>
      <c r="F117">
        <v>-67.611199999999997</v>
      </c>
      <c r="H117">
        <v>67.540000000000006</v>
      </c>
      <c r="J117">
        <f t="shared" si="10"/>
        <v>20.320000000000007</v>
      </c>
      <c r="K117">
        <v>132.78</v>
      </c>
      <c r="L117">
        <f t="shared" si="11"/>
        <v>47.22</v>
      </c>
      <c r="O117" s="2">
        <v>3.6964999999999998E-2</v>
      </c>
    </row>
    <row r="118" spans="1:16" ht="14.25" thickBot="1">
      <c r="A118">
        <v>504</v>
      </c>
      <c r="B118" t="s">
        <v>10</v>
      </c>
      <c r="C118">
        <v>1</v>
      </c>
      <c r="D118" t="s">
        <v>47</v>
      </c>
      <c r="E118">
        <v>-9.4843399999999995</v>
      </c>
      <c r="F118">
        <v>-70.513099999999994</v>
      </c>
      <c r="H118">
        <v>61.36</v>
      </c>
      <c r="J118">
        <f t="shared" si="10"/>
        <v>10.209999999999994</v>
      </c>
      <c r="K118">
        <v>108.43</v>
      </c>
      <c r="L118">
        <f t="shared" si="11"/>
        <v>71.569999999999993</v>
      </c>
      <c r="O118" s="2">
        <v>0.17812900000000001</v>
      </c>
    </row>
    <row r="119" spans="1:16" ht="14.25" thickBot="1">
      <c r="A119">
        <v>509</v>
      </c>
      <c r="B119" t="s">
        <v>10</v>
      </c>
      <c r="C119">
        <v>1</v>
      </c>
      <c r="D119" t="s">
        <v>47</v>
      </c>
      <c r="E119">
        <v>-8.8037799999999997</v>
      </c>
      <c r="F119">
        <v>-67.463200000000001</v>
      </c>
      <c r="H119">
        <v>86.49</v>
      </c>
      <c r="J119">
        <f t="shared" si="10"/>
        <v>72.879999999999981</v>
      </c>
      <c r="K119">
        <v>166.39</v>
      </c>
      <c r="L119">
        <f t="shared" si="11"/>
        <v>13.610000000000014</v>
      </c>
      <c r="O119" s="2">
        <v>2.9700000000000001E-4</v>
      </c>
      <c r="P119" t="s">
        <v>65</v>
      </c>
    </row>
    <row r="120" spans="1:16">
      <c r="A120">
        <v>512</v>
      </c>
      <c r="B120" t="s">
        <v>12</v>
      </c>
      <c r="C120">
        <v>0</v>
      </c>
      <c r="D120" t="s">
        <v>47</v>
      </c>
      <c r="E120">
        <v>-9.5093099999999993</v>
      </c>
      <c r="F120">
        <v>-70.532499999999999</v>
      </c>
      <c r="H120">
        <v>111.6</v>
      </c>
      <c r="J120">
        <f t="shared" si="10"/>
        <v>72.38</v>
      </c>
      <c r="K120">
        <v>140.78</v>
      </c>
      <c r="L120">
        <f t="shared" si="11"/>
        <v>39.22</v>
      </c>
      <c r="O120">
        <v>0.17812900000000001</v>
      </c>
    </row>
    <row r="121" spans="1:16">
      <c r="A121">
        <v>513</v>
      </c>
      <c r="B121" t="s">
        <v>12</v>
      </c>
      <c r="C121">
        <v>0</v>
      </c>
      <c r="D121" t="s">
        <v>46</v>
      </c>
      <c r="E121">
        <v>-13.809699999999999</v>
      </c>
      <c r="F121">
        <v>-67.522599999999997</v>
      </c>
      <c r="H121">
        <v>103.68</v>
      </c>
      <c r="J121">
        <f t="shared" si="10"/>
        <v>22.72999999999999</v>
      </c>
      <c r="K121">
        <v>53.59</v>
      </c>
      <c r="L121">
        <f t="shared" si="11"/>
        <v>126.41</v>
      </c>
      <c r="O121" s="7">
        <v>0</v>
      </c>
    </row>
    <row r="122" spans="1:16" ht="14.25" thickBot="1">
      <c r="A122">
        <v>533</v>
      </c>
      <c r="B122" t="s">
        <v>10</v>
      </c>
      <c r="C122">
        <v>1</v>
      </c>
      <c r="D122" t="s">
        <v>147</v>
      </c>
      <c r="E122">
        <v>-7.2567599999999999</v>
      </c>
      <c r="F122">
        <v>-75.098399999999998</v>
      </c>
      <c r="H122">
        <v>71.47</v>
      </c>
      <c r="J122">
        <f t="shared" si="10"/>
        <v>8.6799999999999926</v>
      </c>
      <c r="K122">
        <v>117.21</v>
      </c>
      <c r="L122">
        <f t="shared" si="11"/>
        <v>62.790000000000006</v>
      </c>
      <c r="O122">
        <v>9.4599999999999997E-3</v>
      </c>
    </row>
    <row r="123" spans="1:16" ht="14.25" thickBot="1">
      <c r="A123">
        <v>535</v>
      </c>
      <c r="B123" t="s">
        <v>12</v>
      </c>
      <c r="C123">
        <v>0</v>
      </c>
      <c r="D123" t="s">
        <v>42</v>
      </c>
      <c r="E123">
        <v>-7.18865</v>
      </c>
      <c r="F123">
        <v>-75.2179</v>
      </c>
      <c r="H123">
        <v>68.010000000000005</v>
      </c>
      <c r="J123">
        <f t="shared" si="10"/>
        <v>43.39</v>
      </c>
      <c r="K123">
        <v>155.38</v>
      </c>
      <c r="L123">
        <f t="shared" si="11"/>
        <v>24.620000000000005</v>
      </c>
      <c r="O123" s="2">
        <v>0.17757500000000001</v>
      </c>
    </row>
    <row r="124" spans="1:16">
      <c r="A124">
        <v>537</v>
      </c>
      <c r="B124" t="s">
        <v>10</v>
      </c>
      <c r="C124">
        <v>1</v>
      </c>
      <c r="D124" t="s">
        <v>49</v>
      </c>
      <c r="E124">
        <v>-8.0824700000000007</v>
      </c>
      <c r="F124">
        <v>-74.703800000000001</v>
      </c>
      <c r="H124">
        <v>57.79</v>
      </c>
      <c r="J124">
        <f t="shared" si="10"/>
        <v>32.769999999999989</v>
      </c>
      <c r="K124">
        <v>154.97999999999999</v>
      </c>
      <c r="L124">
        <f t="shared" si="11"/>
        <v>25.02000000000001</v>
      </c>
      <c r="O124">
        <v>0.185923</v>
      </c>
    </row>
    <row r="125" spans="1:16">
      <c r="A125">
        <v>539</v>
      </c>
      <c r="B125" t="s">
        <v>10</v>
      </c>
      <c r="C125">
        <v>1</v>
      </c>
      <c r="D125" t="s">
        <v>49</v>
      </c>
      <c r="E125">
        <v>-8.30837</v>
      </c>
      <c r="F125">
        <v>-74.898300000000006</v>
      </c>
      <c r="H125">
        <v>81.73</v>
      </c>
      <c r="J125">
        <f t="shared" si="10"/>
        <v>65.959999999999994</v>
      </c>
      <c r="K125">
        <v>164.23</v>
      </c>
      <c r="L125">
        <f t="shared" si="11"/>
        <v>15.77000000000001</v>
      </c>
      <c r="O125">
        <v>0.16864199999999999</v>
      </c>
    </row>
    <row r="126" spans="1:16">
      <c r="A126">
        <v>540</v>
      </c>
      <c r="B126" t="s">
        <v>10</v>
      </c>
      <c r="C126">
        <v>1</v>
      </c>
      <c r="D126" t="s">
        <v>49</v>
      </c>
      <c r="E126">
        <v>-8.3318700000000003</v>
      </c>
      <c r="F126">
        <v>-74.951599999999999</v>
      </c>
      <c r="H126">
        <v>87.96</v>
      </c>
      <c r="J126">
        <f t="shared" si="10"/>
        <v>28.819999999999993</v>
      </c>
      <c r="K126">
        <v>120.86</v>
      </c>
      <c r="L126">
        <f t="shared" si="11"/>
        <v>59.14</v>
      </c>
      <c r="O126">
        <v>0.41460799999999998</v>
      </c>
      <c r="P126">
        <v>0.132017</v>
      </c>
    </row>
    <row r="127" spans="1:16">
      <c r="A127">
        <v>541</v>
      </c>
      <c r="B127" t="s">
        <v>10</v>
      </c>
      <c r="C127">
        <v>1</v>
      </c>
      <c r="D127" t="s">
        <v>49</v>
      </c>
      <c r="E127">
        <v>-8.3848699999999994</v>
      </c>
      <c r="F127">
        <v>-75.034800000000004</v>
      </c>
      <c r="H127">
        <v>86.94</v>
      </c>
      <c r="J127">
        <f t="shared" si="10"/>
        <v>16.399999999999991</v>
      </c>
      <c r="K127">
        <v>109.46</v>
      </c>
      <c r="L127">
        <f t="shared" si="11"/>
        <v>70.540000000000006</v>
      </c>
      <c r="O127" s="7">
        <v>0</v>
      </c>
    </row>
    <row r="128" spans="1:16">
      <c r="A128">
        <v>542</v>
      </c>
      <c r="B128" t="s">
        <v>10</v>
      </c>
      <c r="C128">
        <v>1</v>
      </c>
      <c r="D128" t="s">
        <v>49</v>
      </c>
      <c r="E128">
        <v>-8.3868100000000005</v>
      </c>
      <c r="F128">
        <v>-75.048000000000002</v>
      </c>
      <c r="H128">
        <v>85.17</v>
      </c>
      <c r="J128">
        <f t="shared" si="10"/>
        <v>22.180000000000007</v>
      </c>
      <c r="K128">
        <v>117.01</v>
      </c>
      <c r="L128">
        <f t="shared" si="11"/>
        <v>62.989999999999995</v>
      </c>
      <c r="O128" s="7">
        <v>0</v>
      </c>
    </row>
    <row r="129" spans="1:16">
      <c r="A129">
        <v>552</v>
      </c>
      <c r="B129" t="s">
        <v>10</v>
      </c>
      <c r="C129">
        <v>1</v>
      </c>
      <c r="D129" t="s">
        <v>50</v>
      </c>
      <c r="E129">
        <v>-7.23644</v>
      </c>
      <c r="F129">
        <v>-75.300399999999996</v>
      </c>
      <c r="H129">
        <v>68</v>
      </c>
      <c r="J129">
        <f t="shared" si="10"/>
        <v>29.340000000000003</v>
      </c>
      <c r="K129">
        <v>141.34</v>
      </c>
      <c r="L129">
        <f t="shared" si="11"/>
        <v>38.659999999999997</v>
      </c>
      <c r="O129">
        <v>0.34700300000000001</v>
      </c>
    </row>
    <row r="130" spans="1:16">
      <c r="A130">
        <v>554</v>
      </c>
      <c r="B130" t="s">
        <v>10</v>
      </c>
      <c r="C130">
        <v>1</v>
      </c>
      <c r="D130" t="s">
        <v>50</v>
      </c>
      <c r="E130">
        <v>-7.2687200000000001</v>
      </c>
      <c r="F130">
        <v>-75.3703</v>
      </c>
      <c r="H130">
        <v>76.39</v>
      </c>
      <c r="J130">
        <f t="shared" si="10"/>
        <v>20.379999999999995</v>
      </c>
      <c r="K130">
        <v>123.99</v>
      </c>
      <c r="L130">
        <f t="shared" si="11"/>
        <v>56.010000000000005</v>
      </c>
      <c r="O130">
        <v>0.83097200000000004</v>
      </c>
      <c r="P130">
        <v>0.60722100000000001</v>
      </c>
    </row>
    <row r="131" spans="1:16">
      <c r="A131">
        <v>555</v>
      </c>
      <c r="B131" t="s">
        <v>10</v>
      </c>
      <c r="C131">
        <v>1</v>
      </c>
      <c r="D131" t="s">
        <v>50</v>
      </c>
      <c r="E131">
        <v>-7.2676600000000002</v>
      </c>
      <c r="F131">
        <v>-75.405199999999994</v>
      </c>
      <c r="H131">
        <v>64.94</v>
      </c>
      <c r="J131">
        <f t="shared" si="10"/>
        <v>17.28</v>
      </c>
      <c r="K131">
        <v>132.34</v>
      </c>
      <c r="L131">
        <f t="shared" si="11"/>
        <v>47.66</v>
      </c>
      <c r="O131">
        <v>0.83097200000000004</v>
      </c>
    </row>
    <row r="132" spans="1:16">
      <c r="A132">
        <v>557</v>
      </c>
      <c r="B132" t="s">
        <v>12</v>
      </c>
      <c r="C132">
        <v>0</v>
      </c>
      <c r="D132" t="s">
        <v>50</v>
      </c>
      <c r="E132">
        <v>-7.3009700000000004</v>
      </c>
      <c r="F132">
        <v>-75.492699999999999</v>
      </c>
      <c r="H132">
        <v>47.14</v>
      </c>
      <c r="J132">
        <f t="shared" si="10"/>
        <v>29</v>
      </c>
      <c r="K132">
        <v>103.86</v>
      </c>
      <c r="L132">
        <f t="shared" si="11"/>
        <v>76.14</v>
      </c>
      <c r="O132">
        <v>1.2801E-2</v>
      </c>
    </row>
    <row r="133" spans="1:16">
      <c r="A133">
        <v>558</v>
      </c>
      <c r="B133" t="s">
        <v>10</v>
      </c>
      <c r="C133">
        <v>1</v>
      </c>
      <c r="D133" t="s">
        <v>50</v>
      </c>
      <c r="E133">
        <v>-7.3024100000000001</v>
      </c>
      <c r="F133">
        <v>-75.462100000000007</v>
      </c>
      <c r="H133">
        <v>72.39</v>
      </c>
      <c r="J133">
        <f t="shared" si="10"/>
        <v>26.61</v>
      </c>
      <c r="K133">
        <v>134.22</v>
      </c>
      <c r="L133">
        <f t="shared" si="11"/>
        <v>45.78</v>
      </c>
      <c r="O133">
        <v>0.65240299999999996</v>
      </c>
    </row>
    <row r="134" spans="1:16" ht="14.25" thickBot="1">
      <c r="A134">
        <v>559</v>
      </c>
      <c r="B134" t="s">
        <v>10</v>
      </c>
      <c r="C134">
        <v>1</v>
      </c>
      <c r="D134" t="s">
        <v>51</v>
      </c>
      <c r="E134">
        <v>-5.5848000000000004</v>
      </c>
      <c r="F134">
        <v>-74.628100000000003</v>
      </c>
      <c r="H134">
        <v>95.91</v>
      </c>
      <c r="J134">
        <f t="shared" si="10"/>
        <v>36.86999999999999</v>
      </c>
      <c r="K134">
        <v>120.96</v>
      </c>
      <c r="L134">
        <f t="shared" si="11"/>
        <v>59.040000000000006</v>
      </c>
      <c r="O134" s="7">
        <v>0</v>
      </c>
    </row>
    <row r="135" spans="1:16" ht="14.25" thickBot="1">
      <c r="A135">
        <v>560</v>
      </c>
      <c r="B135" t="s">
        <v>12</v>
      </c>
      <c r="C135">
        <v>0</v>
      </c>
      <c r="D135" t="s">
        <v>42</v>
      </c>
      <c r="E135">
        <v>-5.7515700000000001</v>
      </c>
      <c r="F135">
        <v>-74.455699999999993</v>
      </c>
      <c r="H135">
        <v>34.44</v>
      </c>
      <c r="J135">
        <f t="shared" si="10"/>
        <v>95.41</v>
      </c>
      <c r="K135">
        <v>50.15</v>
      </c>
      <c r="L135">
        <f t="shared" si="11"/>
        <v>129.85</v>
      </c>
      <c r="N135" t="s">
        <v>52</v>
      </c>
      <c r="O135" s="2">
        <v>4.9891999999999999E-2</v>
      </c>
    </row>
    <row r="136" spans="1:16" ht="14.25" thickBot="1">
      <c r="A136">
        <v>561</v>
      </c>
      <c r="B136" t="s">
        <v>12</v>
      </c>
      <c r="C136">
        <v>0</v>
      </c>
      <c r="D136" t="s">
        <v>42</v>
      </c>
      <c r="E136">
        <v>-5.6975199999999999</v>
      </c>
      <c r="F136">
        <v>-74.256100000000004</v>
      </c>
      <c r="H136">
        <v>147.35</v>
      </c>
      <c r="J136">
        <f t="shared" si="10"/>
        <v>96.53</v>
      </c>
      <c r="K136">
        <v>129.18</v>
      </c>
      <c r="L136">
        <f t="shared" si="11"/>
        <v>50.819999999999993</v>
      </c>
      <c r="O136" s="2">
        <v>8.5190000000000005E-3</v>
      </c>
      <c r="P136" s="2">
        <v>0.110195</v>
      </c>
    </row>
    <row r="137" spans="1:16" ht="14.25" thickBot="1">
      <c r="A137">
        <v>563</v>
      </c>
      <c r="B137" t="s">
        <v>10</v>
      </c>
      <c r="C137">
        <v>1</v>
      </c>
      <c r="D137" t="s">
        <v>42</v>
      </c>
      <c r="E137">
        <v>-7.2947100000000002</v>
      </c>
      <c r="F137">
        <v>-75.544499999999999</v>
      </c>
      <c r="H137">
        <v>88.45</v>
      </c>
      <c r="J137">
        <f t="shared" si="10"/>
        <v>10.299999999999997</v>
      </c>
      <c r="K137">
        <v>101.85</v>
      </c>
      <c r="L137">
        <f t="shared" si="11"/>
        <v>78.150000000000006</v>
      </c>
      <c r="O137" s="2">
        <v>0.53075700000000003</v>
      </c>
      <c r="P137" s="2">
        <v>0.77319400000000005</v>
      </c>
    </row>
    <row r="138" spans="1:16" ht="14.25" thickBot="1">
      <c r="A138">
        <v>568</v>
      </c>
      <c r="B138" t="s">
        <v>12</v>
      </c>
      <c r="C138">
        <v>0</v>
      </c>
      <c r="D138" t="s">
        <v>42</v>
      </c>
      <c r="E138">
        <v>-6.1965199999999996</v>
      </c>
      <c r="F138">
        <v>-75.127899999999997</v>
      </c>
      <c r="H138">
        <v>104.28</v>
      </c>
      <c r="J138">
        <f t="shared" si="10"/>
        <v>24.849999999999994</v>
      </c>
      <c r="K138">
        <v>100.57</v>
      </c>
      <c r="L138">
        <f t="shared" si="11"/>
        <v>79.430000000000007</v>
      </c>
      <c r="O138" s="2">
        <v>5.4337000000000003E-2</v>
      </c>
    </row>
    <row r="139" spans="1:16" ht="14.25" thickBot="1">
      <c r="A139">
        <v>569</v>
      </c>
      <c r="B139" t="s">
        <v>10</v>
      </c>
      <c r="C139">
        <v>1</v>
      </c>
      <c r="D139" t="s">
        <v>51</v>
      </c>
      <c r="E139">
        <v>-5.1410900000000002</v>
      </c>
      <c r="F139">
        <v>-74.185100000000006</v>
      </c>
      <c r="H139">
        <v>101.18</v>
      </c>
      <c r="J139">
        <f t="shared" si="10"/>
        <v>74.980000000000018</v>
      </c>
      <c r="K139">
        <v>153.80000000000001</v>
      </c>
      <c r="L139">
        <f t="shared" si="11"/>
        <v>26.199999999999989</v>
      </c>
      <c r="O139" s="2">
        <v>0.19104399999999999</v>
      </c>
    </row>
    <row r="140" spans="1:16" ht="14.25" thickBot="1">
      <c r="A140">
        <v>571</v>
      </c>
      <c r="B140" t="s">
        <v>10</v>
      </c>
      <c r="C140">
        <v>1</v>
      </c>
      <c r="D140" t="s">
        <v>51</v>
      </c>
      <c r="E140">
        <v>-5.1764400000000004</v>
      </c>
      <c r="F140">
        <v>-74.282700000000006</v>
      </c>
      <c r="H140">
        <v>133.62</v>
      </c>
      <c r="J140">
        <f t="shared" si="10"/>
        <v>85.890000000000015</v>
      </c>
      <c r="K140">
        <v>132.27000000000001</v>
      </c>
      <c r="L140">
        <f t="shared" si="11"/>
        <v>47.72999999999999</v>
      </c>
      <c r="O140" s="2">
        <v>6.3489999999999996E-3</v>
      </c>
    </row>
    <row r="141" spans="1:16" ht="14.25" thickBot="1">
      <c r="A141">
        <v>574</v>
      </c>
      <c r="B141" t="s">
        <v>10</v>
      </c>
      <c r="C141">
        <v>1</v>
      </c>
      <c r="D141" t="s">
        <v>53</v>
      </c>
      <c r="E141">
        <v>-7.30253</v>
      </c>
      <c r="F141">
        <v>-75.5839</v>
      </c>
      <c r="H141">
        <v>72.900000000000006</v>
      </c>
      <c r="J141">
        <f t="shared" si="10"/>
        <v>48.240000000000009</v>
      </c>
      <c r="K141">
        <v>155.34</v>
      </c>
      <c r="L141">
        <f t="shared" si="11"/>
        <v>24.659999999999997</v>
      </c>
      <c r="O141" s="2">
        <v>0.77319400000000005</v>
      </c>
    </row>
    <row r="142" spans="1:16" ht="14.25" thickBot="1">
      <c r="A142">
        <v>576</v>
      </c>
      <c r="B142" t="s">
        <v>10</v>
      </c>
      <c r="C142">
        <v>1</v>
      </c>
      <c r="D142" t="s">
        <v>54</v>
      </c>
      <c r="E142">
        <v>-3.5997499999999998</v>
      </c>
      <c r="F142">
        <v>-74.642499999999998</v>
      </c>
      <c r="H142">
        <v>107.43</v>
      </c>
      <c r="J142">
        <f t="shared" si="10"/>
        <v>72.37</v>
      </c>
      <c r="K142">
        <v>144.94</v>
      </c>
      <c r="L142">
        <f t="shared" si="11"/>
        <v>35.06</v>
      </c>
      <c r="O142" s="4">
        <v>5.4317999999999998E-2</v>
      </c>
    </row>
    <row r="143" spans="1:16" ht="14.25" thickBot="1">
      <c r="A143">
        <v>577</v>
      </c>
      <c r="B143" t="s">
        <v>10</v>
      </c>
      <c r="C143">
        <v>1</v>
      </c>
      <c r="D143" t="s">
        <v>54</v>
      </c>
      <c r="E143">
        <v>-3.4122499999999998</v>
      </c>
      <c r="F143">
        <v>-74.835700000000003</v>
      </c>
      <c r="H143">
        <v>80.459999999999994</v>
      </c>
      <c r="J143">
        <f t="shared" si="10"/>
        <v>63.709999999999994</v>
      </c>
      <c r="K143">
        <v>163.25</v>
      </c>
      <c r="L143">
        <f t="shared" si="11"/>
        <v>16.75</v>
      </c>
      <c r="O143" s="2">
        <v>7.2146000000000002E-2</v>
      </c>
    </row>
    <row r="144" spans="1:16" ht="14.25" thickBot="1">
      <c r="A144">
        <v>579</v>
      </c>
      <c r="B144" t="s">
        <v>10</v>
      </c>
      <c r="C144">
        <v>1</v>
      </c>
      <c r="D144" t="s">
        <v>42</v>
      </c>
      <c r="E144">
        <v>-4.6706500000000002</v>
      </c>
      <c r="F144">
        <v>-73.569100000000006</v>
      </c>
      <c r="H144">
        <v>102.43</v>
      </c>
      <c r="J144">
        <f t="shared" si="10"/>
        <v>48.7</v>
      </c>
      <c r="K144">
        <v>126.27</v>
      </c>
      <c r="L144">
        <f t="shared" si="11"/>
        <v>53.730000000000004</v>
      </c>
      <c r="O144" s="2">
        <v>1.9112000000000001E-2</v>
      </c>
    </row>
    <row r="145" spans="1:16">
      <c r="A145">
        <v>583</v>
      </c>
      <c r="B145" t="s">
        <v>10</v>
      </c>
      <c r="C145">
        <v>1</v>
      </c>
      <c r="D145" t="s">
        <v>55</v>
      </c>
      <c r="E145">
        <v>-5.9865700000000004</v>
      </c>
      <c r="F145">
        <v>-76.043099999999995</v>
      </c>
      <c r="H145">
        <v>47.5</v>
      </c>
      <c r="J145">
        <f t="shared" si="10"/>
        <v>11.219999999999999</v>
      </c>
      <c r="K145">
        <v>143.72</v>
      </c>
      <c r="L145">
        <f t="shared" si="11"/>
        <v>36.28</v>
      </c>
      <c r="O145">
        <v>0.28975899999999999</v>
      </c>
    </row>
    <row r="146" spans="1:16" ht="14.25" thickBot="1">
      <c r="A146">
        <v>588</v>
      </c>
      <c r="B146" t="s">
        <v>10</v>
      </c>
      <c r="C146">
        <v>1</v>
      </c>
      <c r="D146" t="s">
        <v>55</v>
      </c>
      <c r="E146">
        <v>-6.2985800000000003</v>
      </c>
      <c r="F146">
        <v>-75.705100000000002</v>
      </c>
      <c r="H146">
        <v>112.99</v>
      </c>
      <c r="J146">
        <f t="shared" si="10"/>
        <v>66.659999999999982</v>
      </c>
      <c r="K146">
        <v>133.66999999999999</v>
      </c>
      <c r="L146">
        <f t="shared" si="11"/>
        <v>46.330000000000013</v>
      </c>
      <c r="O146">
        <v>5.0553000000000001E-2</v>
      </c>
    </row>
    <row r="147" spans="1:16" ht="15" thickBot="1">
      <c r="A147">
        <v>589</v>
      </c>
      <c r="B147" t="s">
        <v>10</v>
      </c>
      <c r="C147">
        <v>1</v>
      </c>
      <c r="D147" t="s">
        <v>55</v>
      </c>
      <c r="E147">
        <v>-6.35555</v>
      </c>
      <c r="F147">
        <v>-75.739599999999996</v>
      </c>
      <c r="H147">
        <v>69.7</v>
      </c>
      <c r="J147">
        <f t="shared" si="10"/>
        <v>20.519999999999996</v>
      </c>
      <c r="K147">
        <v>130.82</v>
      </c>
      <c r="L147">
        <f t="shared" si="11"/>
        <v>49.180000000000007</v>
      </c>
      <c r="O147" s="3">
        <v>7.9469999999999999E-2</v>
      </c>
      <c r="P147" s="2">
        <v>0.39140799999999998</v>
      </c>
    </row>
    <row r="148" spans="1:16" ht="14.25" thickBot="1">
      <c r="A148">
        <v>590</v>
      </c>
      <c r="B148" t="s">
        <v>12</v>
      </c>
      <c r="C148">
        <v>0</v>
      </c>
      <c r="D148" t="s">
        <v>55</v>
      </c>
      <c r="E148">
        <v>-6.4314400000000003</v>
      </c>
      <c r="F148">
        <v>-75.8309</v>
      </c>
      <c r="H148">
        <v>73.510000000000005</v>
      </c>
      <c r="J148">
        <f t="shared" si="10"/>
        <v>16.72</v>
      </c>
      <c r="K148">
        <v>123.21</v>
      </c>
      <c r="L148">
        <f t="shared" si="11"/>
        <v>56.790000000000006</v>
      </c>
      <c r="O148" s="2">
        <v>0.30674800000000002</v>
      </c>
      <c r="P148" s="2">
        <v>0.39140799999999998</v>
      </c>
    </row>
    <row r="149" spans="1:16" ht="14.25" thickBot="1">
      <c r="A149">
        <v>606</v>
      </c>
      <c r="B149" t="s">
        <v>10</v>
      </c>
      <c r="C149">
        <v>1</v>
      </c>
      <c r="D149" t="s">
        <v>40</v>
      </c>
      <c r="E149">
        <v>-7.8097599999999998</v>
      </c>
      <c r="F149">
        <v>-72.635199999999998</v>
      </c>
      <c r="H149">
        <v>54.39</v>
      </c>
      <c r="J149">
        <f t="shared" si="10"/>
        <v>30.429999999999993</v>
      </c>
      <c r="K149">
        <v>156.04</v>
      </c>
      <c r="L149">
        <f t="shared" si="11"/>
        <v>23.960000000000008</v>
      </c>
      <c r="O149" s="2">
        <v>2.4781999999999998E-2</v>
      </c>
    </row>
    <row r="150" spans="1:16" ht="14.25" thickBot="1">
      <c r="A150">
        <v>607</v>
      </c>
      <c r="B150" t="s">
        <v>10</v>
      </c>
      <c r="C150">
        <v>1</v>
      </c>
      <c r="D150" t="s">
        <v>40</v>
      </c>
      <c r="E150">
        <v>-7.5382600000000002</v>
      </c>
      <c r="F150">
        <v>-72.518900000000002</v>
      </c>
      <c r="N150" t="s">
        <v>44</v>
      </c>
      <c r="O150">
        <v>0.38215300000000002</v>
      </c>
    </row>
    <row r="151" spans="1:16" ht="14.25" thickBot="1">
      <c r="A151">
        <v>608</v>
      </c>
      <c r="B151" t="s">
        <v>10</v>
      </c>
      <c r="C151">
        <v>1</v>
      </c>
      <c r="D151" t="s">
        <v>40</v>
      </c>
      <c r="E151">
        <v>-7.7752999999999997</v>
      </c>
      <c r="F151">
        <v>-72.621899999999997</v>
      </c>
      <c r="H151">
        <v>84.47</v>
      </c>
      <c r="J151">
        <f t="shared" ref="J151:J179" si="12">ABS(H151-L151)</f>
        <v>39.47</v>
      </c>
      <c r="K151">
        <v>135</v>
      </c>
      <c r="L151">
        <f t="shared" ref="L151:L179" si="13">180-K151</f>
        <v>45</v>
      </c>
      <c r="O151" s="2">
        <v>2.4781999999999998E-2</v>
      </c>
    </row>
    <row r="152" spans="1:16" ht="14.25" thickBot="1">
      <c r="A152">
        <v>609</v>
      </c>
      <c r="B152" t="s">
        <v>10</v>
      </c>
      <c r="C152">
        <v>1</v>
      </c>
      <c r="D152" t="s">
        <v>40</v>
      </c>
      <c r="E152">
        <v>-7.6812899999999997</v>
      </c>
      <c r="F152">
        <v>-72.656300000000002</v>
      </c>
      <c r="H152">
        <v>86.19</v>
      </c>
      <c r="J152">
        <f t="shared" si="12"/>
        <v>48.639999999999986</v>
      </c>
      <c r="K152">
        <v>142.44999999999999</v>
      </c>
      <c r="L152">
        <f t="shared" si="13"/>
        <v>37.550000000000011</v>
      </c>
      <c r="O152" s="6">
        <v>0.20866000000000001</v>
      </c>
    </row>
    <row r="153" spans="1:16" ht="14.25" thickBot="1">
      <c r="A153">
        <v>610</v>
      </c>
      <c r="B153" t="s">
        <v>10</v>
      </c>
      <c r="C153">
        <v>1</v>
      </c>
      <c r="D153" t="s">
        <v>40</v>
      </c>
      <c r="E153">
        <v>-7.5352499999999996</v>
      </c>
      <c r="F153">
        <v>-72.547300000000007</v>
      </c>
      <c r="H153">
        <v>101.31</v>
      </c>
      <c r="J153">
        <f t="shared" si="12"/>
        <v>63.25</v>
      </c>
      <c r="K153">
        <v>141.94</v>
      </c>
      <c r="L153">
        <f t="shared" si="13"/>
        <v>38.06</v>
      </c>
      <c r="O153" s="2">
        <v>1.1606E-2</v>
      </c>
      <c r="P153" s="2">
        <v>0.38215300000000002</v>
      </c>
    </row>
    <row r="154" spans="1:16" ht="14.25" thickBot="1">
      <c r="A154">
        <v>611</v>
      </c>
      <c r="B154" t="s">
        <v>10</v>
      </c>
      <c r="C154">
        <v>1</v>
      </c>
      <c r="D154" t="s">
        <v>40</v>
      </c>
      <c r="E154">
        <v>-7.3746499999999999</v>
      </c>
      <c r="F154">
        <v>-72.362700000000004</v>
      </c>
      <c r="H154">
        <v>61.62</v>
      </c>
      <c r="J154">
        <f t="shared" si="12"/>
        <v>41.640000000000008</v>
      </c>
      <c r="K154">
        <v>160.02000000000001</v>
      </c>
      <c r="L154">
        <f t="shared" si="13"/>
        <v>19.97999999999999</v>
      </c>
      <c r="O154">
        <v>1.1965999999999999E-2</v>
      </c>
    </row>
    <row r="155" spans="1:16" ht="14.25" thickBot="1">
      <c r="A155">
        <v>612</v>
      </c>
      <c r="B155" t="s">
        <v>10</v>
      </c>
      <c r="C155">
        <v>1</v>
      </c>
      <c r="D155" t="s">
        <v>40</v>
      </c>
      <c r="E155">
        <v>-7.5246399999999998</v>
      </c>
      <c r="F155">
        <v>-72.538700000000006</v>
      </c>
      <c r="H155">
        <v>105.12</v>
      </c>
      <c r="J155">
        <f t="shared" si="12"/>
        <v>83.15</v>
      </c>
      <c r="K155">
        <v>158.03</v>
      </c>
      <c r="L155">
        <f t="shared" si="13"/>
        <v>21.97</v>
      </c>
      <c r="O155" s="2">
        <v>0.38215300000000002</v>
      </c>
    </row>
    <row r="156" spans="1:16" ht="14.25" thickBot="1">
      <c r="A156">
        <v>613</v>
      </c>
      <c r="B156" t="s">
        <v>10</v>
      </c>
      <c r="C156">
        <v>1</v>
      </c>
      <c r="D156" t="s">
        <v>40</v>
      </c>
      <c r="E156">
        <v>-7.2599799999999997</v>
      </c>
      <c r="F156">
        <v>-72.336100000000002</v>
      </c>
      <c r="H156">
        <v>79.510000000000005</v>
      </c>
      <c r="J156">
        <f t="shared" si="12"/>
        <v>47.940000000000012</v>
      </c>
      <c r="K156">
        <v>148.43</v>
      </c>
      <c r="L156">
        <f t="shared" si="13"/>
        <v>31.569999999999993</v>
      </c>
      <c r="O156" s="2">
        <v>0.16561100000000001</v>
      </c>
    </row>
    <row r="157" spans="1:16">
      <c r="A157">
        <v>614</v>
      </c>
      <c r="B157" t="s">
        <v>10</v>
      </c>
      <c r="C157">
        <v>1</v>
      </c>
      <c r="D157" t="s">
        <v>40</v>
      </c>
      <c r="E157">
        <v>-7.3534300000000004</v>
      </c>
      <c r="F157">
        <v>-72.368799999999993</v>
      </c>
      <c r="H157">
        <v>119.54</v>
      </c>
      <c r="J157">
        <f t="shared" si="12"/>
        <v>88.58</v>
      </c>
      <c r="K157">
        <v>149.04</v>
      </c>
      <c r="L157">
        <f t="shared" si="13"/>
        <v>30.960000000000008</v>
      </c>
      <c r="O157" s="6">
        <v>1.1965999999999999E-2</v>
      </c>
    </row>
    <row r="158" spans="1:16">
      <c r="A158">
        <v>615</v>
      </c>
      <c r="B158" t="s">
        <v>10</v>
      </c>
      <c r="C158">
        <v>1</v>
      </c>
      <c r="D158" t="s">
        <v>40</v>
      </c>
      <c r="E158">
        <v>-7.1438899999999999</v>
      </c>
      <c r="F158">
        <v>-71.792000000000002</v>
      </c>
      <c r="H158">
        <v>85.36</v>
      </c>
      <c r="J158">
        <f t="shared" si="12"/>
        <v>58.089999999999989</v>
      </c>
      <c r="K158">
        <v>152.72999999999999</v>
      </c>
      <c r="L158">
        <f t="shared" si="13"/>
        <v>27.27000000000001</v>
      </c>
      <c r="O158">
        <v>0.26346599999999998</v>
      </c>
    </row>
    <row r="159" spans="1:16" ht="15" thickBot="1">
      <c r="A159">
        <v>616</v>
      </c>
      <c r="B159" t="s">
        <v>10</v>
      </c>
      <c r="C159">
        <v>1</v>
      </c>
      <c r="D159" t="s">
        <v>40</v>
      </c>
      <c r="E159">
        <v>-7.4611700000000001</v>
      </c>
      <c r="F159">
        <v>-72.446899999999999</v>
      </c>
      <c r="H159">
        <v>98.97</v>
      </c>
      <c r="J159">
        <f t="shared" si="12"/>
        <v>52.359999999999985</v>
      </c>
      <c r="K159">
        <v>133.38999999999999</v>
      </c>
      <c r="L159">
        <f t="shared" si="13"/>
        <v>46.610000000000014</v>
      </c>
      <c r="O159" s="3">
        <v>0.22531499999999999</v>
      </c>
    </row>
    <row r="160" spans="1:16" ht="14.25" thickBot="1">
      <c r="A160">
        <v>617</v>
      </c>
      <c r="B160" t="s">
        <v>12</v>
      </c>
      <c r="C160">
        <v>0</v>
      </c>
      <c r="D160" t="s">
        <v>40</v>
      </c>
      <c r="E160">
        <v>-7.2452399999999999</v>
      </c>
      <c r="F160">
        <v>-72.218299999999999</v>
      </c>
      <c r="H160">
        <v>65.64</v>
      </c>
      <c r="J160">
        <f t="shared" si="12"/>
        <v>30.570000000000007</v>
      </c>
      <c r="K160">
        <v>144.93</v>
      </c>
      <c r="L160">
        <f t="shared" si="13"/>
        <v>35.069999999999993</v>
      </c>
      <c r="O160" s="2">
        <v>2.5538999999999999E-2</v>
      </c>
    </row>
    <row r="161" spans="1:16" ht="14.25" thickBot="1">
      <c r="A161">
        <v>619</v>
      </c>
      <c r="B161" t="s">
        <v>10</v>
      </c>
      <c r="C161">
        <v>1</v>
      </c>
      <c r="D161" t="s">
        <v>40</v>
      </c>
      <c r="E161">
        <v>-6.9933399999999999</v>
      </c>
      <c r="F161">
        <v>-71.472499999999997</v>
      </c>
      <c r="H161">
        <v>88.33</v>
      </c>
      <c r="J161">
        <f t="shared" si="12"/>
        <v>50.61</v>
      </c>
      <c r="K161">
        <v>142.28</v>
      </c>
      <c r="L161">
        <f t="shared" si="13"/>
        <v>37.72</v>
      </c>
      <c r="O161" s="2">
        <v>0.11633499999999999</v>
      </c>
    </row>
    <row r="162" spans="1:16">
      <c r="A162">
        <v>620</v>
      </c>
      <c r="B162" t="s">
        <v>12</v>
      </c>
      <c r="C162">
        <v>0</v>
      </c>
      <c r="D162" t="s">
        <v>40</v>
      </c>
      <c r="E162">
        <v>-6.9087399999999999</v>
      </c>
      <c r="F162">
        <v>-71.144999999999996</v>
      </c>
      <c r="H162">
        <v>135</v>
      </c>
      <c r="J162">
        <f t="shared" si="12"/>
        <v>95.300000000000011</v>
      </c>
      <c r="K162">
        <v>140.30000000000001</v>
      </c>
      <c r="L162">
        <f t="shared" si="13"/>
        <v>39.699999999999989</v>
      </c>
      <c r="O162" s="7">
        <v>0</v>
      </c>
    </row>
    <row r="163" spans="1:16" ht="14.25" thickBot="1">
      <c r="A163">
        <v>621</v>
      </c>
      <c r="B163" t="s">
        <v>10</v>
      </c>
      <c r="C163">
        <v>1</v>
      </c>
      <c r="D163" t="s">
        <v>40</v>
      </c>
      <c r="E163">
        <v>-6.8842400000000001</v>
      </c>
      <c r="F163">
        <v>-71.111599999999996</v>
      </c>
      <c r="H163">
        <v>101.07</v>
      </c>
      <c r="J163">
        <f t="shared" si="12"/>
        <v>70.769999999999982</v>
      </c>
      <c r="K163">
        <v>149.69999999999999</v>
      </c>
      <c r="L163">
        <f t="shared" si="13"/>
        <v>30.300000000000011</v>
      </c>
      <c r="O163" s="7">
        <v>0</v>
      </c>
    </row>
    <row r="164" spans="1:16" ht="14.25" thickBot="1">
      <c r="A164">
        <v>628</v>
      </c>
      <c r="B164" t="s">
        <v>10</v>
      </c>
      <c r="C164">
        <v>1</v>
      </c>
      <c r="D164" t="s">
        <v>56</v>
      </c>
      <c r="E164">
        <v>-4.0546600000000002</v>
      </c>
      <c r="F164">
        <v>-77.200999999999993</v>
      </c>
      <c r="H164">
        <v>59.74</v>
      </c>
      <c r="J164">
        <f t="shared" si="12"/>
        <v>30.21</v>
      </c>
      <c r="K164">
        <v>150.47</v>
      </c>
      <c r="L164">
        <f t="shared" si="13"/>
        <v>29.53</v>
      </c>
      <c r="O164" s="2">
        <v>0.27260600000000001</v>
      </c>
      <c r="P164" s="2">
        <v>2.0074000000000002E-2</v>
      </c>
    </row>
    <row r="165" spans="1:16" ht="14.25" thickBot="1">
      <c r="A165">
        <v>631</v>
      </c>
      <c r="B165" t="s">
        <v>10</v>
      </c>
      <c r="C165">
        <v>1</v>
      </c>
      <c r="D165" t="s">
        <v>57</v>
      </c>
      <c r="E165">
        <v>-1.91316</v>
      </c>
      <c r="F165">
        <v>-75.002399999999994</v>
      </c>
      <c r="H165">
        <v>72.540000000000006</v>
      </c>
      <c r="J165">
        <f t="shared" si="12"/>
        <v>59.3</v>
      </c>
      <c r="K165">
        <v>166.76</v>
      </c>
      <c r="L165">
        <f t="shared" si="13"/>
        <v>13.240000000000009</v>
      </c>
      <c r="O165" s="2">
        <v>0.55212399999999995</v>
      </c>
    </row>
    <row r="166" spans="1:16">
      <c r="A166">
        <v>633</v>
      </c>
      <c r="B166" t="s">
        <v>10</v>
      </c>
      <c r="C166">
        <v>1</v>
      </c>
      <c r="D166" t="s">
        <v>57</v>
      </c>
      <c r="E166">
        <v>-2.2743899999999999</v>
      </c>
      <c r="F166">
        <v>-74.355000000000004</v>
      </c>
      <c r="H166">
        <v>133.6</v>
      </c>
      <c r="J166">
        <f t="shared" si="12"/>
        <v>111.22</v>
      </c>
      <c r="K166">
        <v>157.62</v>
      </c>
      <c r="L166">
        <f t="shared" si="13"/>
        <v>22.379999999999995</v>
      </c>
      <c r="O166" s="7">
        <v>0</v>
      </c>
    </row>
    <row r="167" spans="1:16" ht="14.25" thickBot="1">
      <c r="A167">
        <v>635</v>
      </c>
      <c r="B167" t="s">
        <v>10</v>
      </c>
      <c r="C167">
        <v>1</v>
      </c>
      <c r="D167" t="s">
        <v>57</v>
      </c>
      <c r="E167">
        <v>-2.31487</v>
      </c>
      <c r="F167">
        <v>-74.163600000000002</v>
      </c>
      <c r="H167">
        <v>62.53</v>
      </c>
      <c r="J167">
        <f t="shared" si="12"/>
        <v>62.53</v>
      </c>
      <c r="K167">
        <v>180</v>
      </c>
      <c r="L167">
        <f t="shared" si="13"/>
        <v>0</v>
      </c>
      <c r="O167" s="7">
        <v>0</v>
      </c>
    </row>
    <row r="168" spans="1:16" ht="14.25" thickBot="1">
      <c r="A168">
        <v>636</v>
      </c>
      <c r="B168" t="s">
        <v>10</v>
      </c>
      <c r="C168">
        <v>1</v>
      </c>
      <c r="D168" t="s">
        <v>57</v>
      </c>
      <c r="E168">
        <v>-2.2909999999999999</v>
      </c>
      <c r="F168">
        <v>-74.261700000000005</v>
      </c>
      <c r="H168">
        <v>79.7</v>
      </c>
      <c r="J168">
        <f t="shared" si="12"/>
        <v>55.36</v>
      </c>
      <c r="K168">
        <v>155.66</v>
      </c>
      <c r="L168">
        <f t="shared" si="13"/>
        <v>24.340000000000003</v>
      </c>
      <c r="O168" s="2">
        <v>0.133349</v>
      </c>
    </row>
    <row r="169" spans="1:16" ht="14.25" thickBot="1">
      <c r="A169">
        <v>640</v>
      </c>
      <c r="B169" t="s">
        <v>10</v>
      </c>
      <c r="C169">
        <v>1</v>
      </c>
      <c r="D169" t="s">
        <v>57</v>
      </c>
      <c r="E169">
        <v>-2.1999399999999998</v>
      </c>
      <c r="F169">
        <v>-74.539299999999997</v>
      </c>
      <c r="H169">
        <v>126.37</v>
      </c>
      <c r="J169">
        <f t="shared" si="12"/>
        <v>74.2</v>
      </c>
      <c r="K169">
        <v>127.83</v>
      </c>
      <c r="L169">
        <f t="shared" si="13"/>
        <v>52.17</v>
      </c>
      <c r="O169" s="2">
        <v>1.4482E-2</v>
      </c>
    </row>
    <row r="170" spans="1:16" ht="14.25" thickBot="1">
      <c r="A170">
        <v>708</v>
      </c>
      <c r="B170" t="s">
        <v>10</v>
      </c>
      <c r="C170">
        <v>1</v>
      </c>
      <c r="D170" t="s">
        <v>58</v>
      </c>
      <c r="E170">
        <v>2.8746200000000002</v>
      </c>
      <c r="F170">
        <v>-71.827399999999997</v>
      </c>
      <c r="H170">
        <v>88.96</v>
      </c>
      <c r="J170">
        <f t="shared" si="12"/>
        <v>59.159999999999982</v>
      </c>
      <c r="K170">
        <v>150.19999999999999</v>
      </c>
      <c r="L170">
        <f t="shared" si="13"/>
        <v>29.800000000000011</v>
      </c>
      <c r="O170" s="2">
        <v>0.25581399999999999</v>
      </c>
    </row>
    <row r="171" spans="1:16" ht="14.25" thickBot="1">
      <c r="A171">
        <v>709</v>
      </c>
      <c r="B171" t="s">
        <v>10</v>
      </c>
      <c r="C171">
        <v>1</v>
      </c>
      <c r="D171" t="s">
        <v>58</v>
      </c>
      <c r="E171">
        <v>2.7967</v>
      </c>
      <c r="F171">
        <v>-70.871399999999994</v>
      </c>
      <c r="H171">
        <v>75.510000000000005</v>
      </c>
      <c r="J171">
        <f t="shared" si="12"/>
        <v>35.11</v>
      </c>
      <c r="K171">
        <v>139.6</v>
      </c>
      <c r="L171">
        <f t="shared" si="13"/>
        <v>40.400000000000006</v>
      </c>
      <c r="O171" s="2">
        <v>9.6203999999999998E-2</v>
      </c>
    </row>
    <row r="172" spans="1:16" ht="14.25" thickBot="1">
      <c r="A172">
        <v>710</v>
      </c>
      <c r="B172" t="s">
        <v>10</v>
      </c>
      <c r="C172">
        <v>1</v>
      </c>
      <c r="D172" t="s">
        <v>58</v>
      </c>
      <c r="E172">
        <v>3.67923</v>
      </c>
      <c r="F172">
        <v>-69.569000000000003</v>
      </c>
      <c r="H172">
        <v>80.7</v>
      </c>
      <c r="J172">
        <f t="shared" si="12"/>
        <v>31.750000000000014</v>
      </c>
      <c r="K172">
        <v>131.05000000000001</v>
      </c>
      <c r="L172">
        <f t="shared" si="13"/>
        <v>48.949999999999989</v>
      </c>
      <c r="O172" s="7">
        <v>0</v>
      </c>
    </row>
    <row r="173" spans="1:16" ht="14.25" thickBot="1">
      <c r="A173">
        <v>711</v>
      </c>
      <c r="B173" t="s">
        <v>10</v>
      </c>
      <c r="C173">
        <v>1</v>
      </c>
      <c r="D173" t="s">
        <v>58</v>
      </c>
      <c r="E173">
        <v>3.6937099999999998</v>
      </c>
      <c r="F173">
        <v>-68.930199999999999</v>
      </c>
      <c r="H173">
        <v>99.52</v>
      </c>
      <c r="J173">
        <f t="shared" si="12"/>
        <v>80.86</v>
      </c>
      <c r="K173">
        <v>161.34</v>
      </c>
      <c r="L173">
        <f t="shared" si="13"/>
        <v>18.659999999999997</v>
      </c>
      <c r="O173" s="2">
        <v>3.2084000000000001E-2</v>
      </c>
      <c r="P173" s="2">
        <v>2.6963999999999998E-2</v>
      </c>
    </row>
    <row r="174" spans="1:16" ht="14.25" thickBot="1">
      <c r="A174">
        <v>712</v>
      </c>
      <c r="B174" t="s">
        <v>10</v>
      </c>
      <c r="C174">
        <v>1</v>
      </c>
      <c r="D174" t="s">
        <v>58</v>
      </c>
      <c r="E174">
        <v>3.9923799999999998</v>
      </c>
      <c r="F174">
        <v>-68.207700000000003</v>
      </c>
      <c r="H174">
        <v>84.09</v>
      </c>
      <c r="J174">
        <f t="shared" si="12"/>
        <v>53.509999999999991</v>
      </c>
      <c r="K174">
        <v>149.41999999999999</v>
      </c>
      <c r="L174">
        <f t="shared" si="13"/>
        <v>30.580000000000013</v>
      </c>
      <c r="O174" s="7">
        <v>0</v>
      </c>
    </row>
    <row r="175" spans="1:16" ht="14.25" thickBot="1">
      <c r="A175">
        <v>714</v>
      </c>
      <c r="B175" t="s">
        <v>12</v>
      </c>
      <c r="C175">
        <v>0</v>
      </c>
      <c r="D175" t="s">
        <v>55</v>
      </c>
      <c r="E175">
        <v>-8.7669499999999996</v>
      </c>
      <c r="F175">
        <v>-76.236999999999995</v>
      </c>
      <c r="H175">
        <v>70.69</v>
      </c>
      <c r="J175">
        <f t="shared" si="12"/>
        <v>31.050000000000011</v>
      </c>
      <c r="K175">
        <v>140.36000000000001</v>
      </c>
      <c r="L175">
        <f t="shared" si="13"/>
        <v>39.639999999999986</v>
      </c>
      <c r="O175" s="2">
        <v>0.56220800000000004</v>
      </c>
    </row>
    <row r="176" spans="1:16" ht="14.25" thickBot="1">
      <c r="A176">
        <v>715</v>
      </c>
      <c r="B176" t="s">
        <v>10</v>
      </c>
      <c r="C176">
        <v>1</v>
      </c>
      <c r="D176" t="s">
        <v>55</v>
      </c>
      <c r="E176">
        <v>-8.7689500000000002</v>
      </c>
      <c r="F176">
        <v>-76.195599999999999</v>
      </c>
      <c r="H176">
        <v>64.13</v>
      </c>
      <c r="J176">
        <f t="shared" si="12"/>
        <v>21.160000000000011</v>
      </c>
      <c r="K176">
        <v>94.71</v>
      </c>
      <c r="L176">
        <f t="shared" si="13"/>
        <v>85.29</v>
      </c>
      <c r="O176" s="2">
        <v>0.76046400000000003</v>
      </c>
    </row>
    <row r="177" spans="1:16" ht="14.25" thickBot="1">
      <c r="A177">
        <v>717</v>
      </c>
      <c r="B177" t="s">
        <v>10</v>
      </c>
      <c r="C177">
        <v>1</v>
      </c>
      <c r="D177" t="s">
        <v>55</v>
      </c>
      <c r="E177">
        <v>-8.6855700000000002</v>
      </c>
      <c r="F177">
        <v>-76.258899999999997</v>
      </c>
      <c r="H177">
        <v>131.05000000000001</v>
      </c>
      <c r="J177">
        <f t="shared" si="12"/>
        <v>42.840000000000018</v>
      </c>
      <c r="K177">
        <v>91.79</v>
      </c>
      <c r="L177">
        <f t="shared" si="13"/>
        <v>88.21</v>
      </c>
      <c r="O177" s="2">
        <v>0.19014600000000001</v>
      </c>
      <c r="P177" s="2">
        <v>0.88967200000000002</v>
      </c>
    </row>
    <row r="178" spans="1:16" ht="14.25" thickBot="1">
      <c r="A178">
        <v>724</v>
      </c>
      <c r="B178" t="s">
        <v>12</v>
      </c>
      <c r="C178">
        <v>0</v>
      </c>
      <c r="D178" t="s">
        <v>59</v>
      </c>
      <c r="E178">
        <v>-17.277000000000001</v>
      </c>
      <c r="F178">
        <v>-64.259399999999999</v>
      </c>
      <c r="H178">
        <v>56.31</v>
      </c>
      <c r="J178">
        <f t="shared" si="12"/>
        <v>57.72</v>
      </c>
      <c r="K178">
        <v>65.97</v>
      </c>
      <c r="L178">
        <f t="shared" si="13"/>
        <v>114.03</v>
      </c>
      <c r="O178" s="2">
        <v>0.222302</v>
      </c>
      <c r="P178" s="2">
        <v>1.070532</v>
      </c>
    </row>
    <row r="179" spans="1:16" ht="14.25" thickBot="1">
      <c r="A179">
        <v>725</v>
      </c>
      <c r="B179" t="s">
        <v>10</v>
      </c>
      <c r="C179">
        <v>1</v>
      </c>
      <c r="D179" t="s">
        <v>59</v>
      </c>
      <c r="E179">
        <v>-17.2605</v>
      </c>
      <c r="F179">
        <v>-64.316299999999998</v>
      </c>
      <c r="H179">
        <v>65.209999999999994</v>
      </c>
      <c r="J179">
        <f t="shared" si="12"/>
        <v>27.279999999999987</v>
      </c>
      <c r="K179">
        <v>142.07</v>
      </c>
      <c r="L179">
        <f t="shared" si="13"/>
        <v>37.930000000000007</v>
      </c>
      <c r="O179" s="2">
        <v>0.64781100000000003</v>
      </c>
    </row>
    <row r="180" spans="1:16" ht="14.25" thickBot="1">
      <c r="A180">
        <v>726</v>
      </c>
      <c r="B180" t="s">
        <v>12</v>
      </c>
      <c r="C180">
        <v>0</v>
      </c>
      <c r="D180" t="s">
        <v>59</v>
      </c>
      <c r="E180">
        <v>-17.264299999999999</v>
      </c>
      <c r="F180">
        <v>-64.323800000000006</v>
      </c>
      <c r="N180" t="s">
        <v>60</v>
      </c>
      <c r="O180" s="2">
        <v>0.64781100000000003</v>
      </c>
    </row>
    <row r="181" spans="1:16" ht="14.25" thickBot="1">
      <c r="A181">
        <v>727</v>
      </c>
      <c r="B181" t="s">
        <v>10</v>
      </c>
      <c r="C181">
        <v>1</v>
      </c>
      <c r="D181" t="s">
        <v>59</v>
      </c>
      <c r="E181">
        <v>-17.223400000000002</v>
      </c>
      <c r="F181">
        <v>-64.356700000000004</v>
      </c>
      <c r="H181">
        <v>56.31</v>
      </c>
      <c r="J181">
        <f t="shared" ref="J181:J187" si="14">ABS(H181-L181)</f>
        <v>19.22999999999999</v>
      </c>
      <c r="K181">
        <v>142.91999999999999</v>
      </c>
      <c r="L181">
        <f t="shared" ref="L181:L187" si="15">180-K181</f>
        <v>37.080000000000013</v>
      </c>
      <c r="O181" s="2">
        <v>0.265044</v>
      </c>
    </row>
    <row r="182" spans="1:16" ht="15" thickBot="1">
      <c r="A182">
        <v>731</v>
      </c>
      <c r="B182" t="s">
        <v>10</v>
      </c>
      <c r="C182">
        <v>1</v>
      </c>
      <c r="D182" t="s">
        <v>59</v>
      </c>
      <c r="E182">
        <v>-17.148499999999999</v>
      </c>
      <c r="F182">
        <v>-64.408000000000001</v>
      </c>
      <c r="H182">
        <v>66.489999999999995</v>
      </c>
      <c r="J182">
        <f t="shared" si="14"/>
        <v>30.92</v>
      </c>
      <c r="K182">
        <v>144.43</v>
      </c>
      <c r="L182">
        <f t="shared" si="15"/>
        <v>35.569999999999993</v>
      </c>
      <c r="O182" s="3">
        <v>0.28180699999999997</v>
      </c>
      <c r="P182" s="2">
        <v>0.28246599999999999</v>
      </c>
    </row>
    <row r="183" spans="1:16" ht="14.25" thickBot="1">
      <c r="A183">
        <v>732</v>
      </c>
      <c r="B183" t="s">
        <v>10</v>
      </c>
      <c r="C183">
        <v>1</v>
      </c>
      <c r="D183" t="s">
        <v>59</v>
      </c>
      <c r="E183">
        <v>-17.1112</v>
      </c>
      <c r="F183">
        <v>-64.485200000000006</v>
      </c>
      <c r="H183">
        <v>77.45</v>
      </c>
      <c r="J183">
        <f t="shared" si="14"/>
        <v>53.290000000000006</v>
      </c>
      <c r="K183">
        <v>155.84</v>
      </c>
      <c r="L183">
        <f t="shared" si="15"/>
        <v>24.159999999999997</v>
      </c>
      <c r="O183" s="10">
        <v>0.60447700000000004</v>
      </c>
    </row>
    <row r="184" spans="1:16" ht="14.25" thickBot="1">
      <c r="A184">
        <v>733</v>
      </c>
      <c r="B184" t="s">
        <v>10</v>
      </c>
      <c r="C184">
        <v>1</v>
      </c>
      <c r="D184" t="s">
        <v>59</v>
      </c>
      <c r="E184">
        <v>-17.094899999999999</v>
      </c>
      <c r="F184">
        <v>-64.514799999999994</v>
      </c>
      <c r="H184">
        <v>98.13</v>
      </c>
      <c r="J184">
        <f t="shared" si="14"/>
        <v>77.569999999999993</v>
      </c>
      <c r="K184">
        <v>159.44</v>
      </c>
      <c r="L184">
        <f t="shared" si="15"/>
        <v>20.560000000000002</v>
      </c>
      <c r="O184" s="2">
        <v>0.44800499999999999</v>
      </c>
    </row>
    <row r="185" spans="1:16" ht="14.25" thickBot="1">
      <c r="A185">
        <v>734</v>
      </c>
      <c r="B185" t="s">
        <v>10</v>
      </c>
      <c r="C185">
        <v>1</v>
      </c>
      <c r="D185" t="s">
        <v>59</v>
      </c>
      <c r="E185">
        <v>-17.037500000000001</v>
      </c>
      <c r="F185">
        <v>-64.615700000000004</v>
      </c>
      <c r="H185">
        <v>57.3</v>
      </c>
      <c r="J185">
        <f t="shared" si="14"/>
        <v>5.0600000000000023</v>
      </c>
      <c r="K185">
        <v>117.64</v>
      </c>
      <c r="L185">
        <f t="shared" si="15"/>
        <v>62.36</v>
      </c>
      <c r="O185" s="2">
        <v>0.42413800000000001</v>
      </c>
    </row>
    <row r="186" spans="1:16" ht="14.25" thickBot="1">
      <c r="A186">
        <v>735</v>
      </c>
      <c r="B186" t="s">
        <v>10</v>
      </c>
      <c r="C186">
        <v>1</v>
      </c>
      <c r="D186" t="s">
        <v>59</v>
      </c>
      <c r="E186">
        <v>-17.0562</v>
      </c>
      <c r="F186">
        <v>-64.586500000000001</v>
      </c>
      <c r="H186">
        <v>57.49</v>
      </c>
      <c r="J186">
        <f t="shared" si="14"/>
        <v>2.1900000000000048</v>
      </c>
      <c r="K186">
        <v>120.32</v>
      </c>
      <c r="L186">
        <f t="shared" si="15"/>
        <v>59.680000000000007</v>
      </c>
      <c r="O186" s="2">
        <v>0.42413800000000001</v>
      </c>
    </row>
    <row r="187" spans="1:16" ht="14.25" thickBot="1">
      <c r="A187">
        <v>741</v>
      </c>
      <c r="B187" t="s">
        <v>10</v>
      </c>
      <c r="C187">
        <v>1</v>
      </c>
      <c r="D187" t="s">
        <v>61</v>
      </c>
      <c r="E187">
        <v>-16.814900000000002</v>
      </c>
      <c r="F187">
        <v>-65.016199999999998</v>
      </c>
      <c r="H187">
        <v>83.99</v>
      </c>
      <c r="J187">
        <f t="shared" si="14"/>
        <v>34.67</v>
      </c>
      <c r="K187">
        <v>130.68</v>
      </c>
      <c r="L187">
        <f t="shared" si="15"/>
        <v>49.319999999999993</v>
      </c>
      <c r="O187" s="10">
        <v>0.15673000000000001</v>
      </c>
    </row>
    <row r="188" spans="1:16" ht="14.25" thickBot="1">
      <c r="A188">
        <v>743</v>
      </c>
      <c r="B188" t="s">
        <v>12</v>
      </c>
      <c r="C188">
        <v>0</v>
      </c>
      <c r="D188" t="s">
        <v>61</v>
      </c>
      <c r="E188">
        <v>-16.915600000000001</v>
      </c>
      <c r="F188">
        <v>-65.087999999999994</v>
      </c>
      <c r="N188" t="s">
        <v>62</v>
      </c>
      <c r="O188" s="2">
        <v>0.83148900000000003</v>
      </c>
    </row>
    <row r="189" spans="1:16">
      <c r="A189">
        <v>745</v>
      </c>
      <c r="B189" t="s">
        <v>10</v>
      </c>
      <c r="C189">
        <v>1</v>
      </c>
      <c r="D189" t="s">
        <v>61</v>
      </c>
      <c r="E189">
        <v>-16.753799999999998</v>
      </c>
      <c r="F189">
        <v>-64.880899999999997</v>
      </c>
      <c r="H189">
        <v>86.82</v>
      </c>
      <c r="J189">
        <f t="shared" ref="J189:J195" si="16">ABS(H189-L189)</f>
        <v>41.5</v>
      </c>
      <c r="K189">
        <v>134.68</v>
      </c>
      <c r="L189">
        <f t="shared" ref="L189:L194" si="17">180-K189</f>
        <v>45.319999999999993</v>
      </c>
      <c r="O189" s="10">
        <v>1.0441000000000001E-2</v>
      </c>
    </row>
    <row r="190" spans="1:16" ht="14.25" thickBot="1">
      <c r="A190">
        <v>749</v>
      </c>
      <c r="B190" t="s">
        <v>10</v>
      </c>
      <c r="C190">
        <v>1</v>
      </c>
      <c r="D190" t="s">
        <v>61</v>
      </c>
      <c r="E190">
        <v>-16.775400000000001</v>
      </c>
      <c r="F190">
        <v>-64.8964</v>
      </c>
      <c r="H190">
        <v>50.65</v>
      </c>
      <c r="J190">
        <f t="shared" si="16"/>
        <v>21.29</v>
      </c>
      <c r="K190">
        <v>108.06</v>
      </c>
      <c r="L190">
        <f t="shared" si="17"/>
        <v>71.94</v>
      </c>
      <c r="O190" s="10">
        <v>1.0441000000000001E-2</v>
      </c>
      <c r="P190">
        <v>1.4355E-2</v>
      </c>
    </row>
    <row r="191" spans="1:16" ht="14.25" thickBot="1">
      <c r="A191">
        <v>750</v>
      </c>
      <c r="B191" t="s">
        <v>12</v>
      </c>
      <c r="C191">
        <v>0</v>
      </c>
      <c r="D191" t="s">
        <v>61</v>
      </c>
      <c r="E191">
        <v>-16.863900000000001</v>
      </c>
      <c r="F191">
        <v>-65.0672</v>
      </c>
      <c r="H191">
        <v>48.9</v>
      </c>
      <c r="J191">
        <f t="shared" si="16"/>
        <v>68.960000000000008</v>
      </c>
      <c r="K191">
        <v>62.14</v>
      </c>
      <c r="L191">
        <f t="shared" si="17"/>
        <v>117.86</v>
      </c>
      <c r="O191" s="2">
        <v>0.50797899999999996</v>
      </c>
    </row>
    <row r="192" spans="1:16" ht="14.25" thickBot="1">
      <c r="A192">
        <v>753</v>
      </c>
      <c r="B192" t="s">
        <v>10</v>
      </c>
      <c r="C192">
        <v>1</v>
      </c>
      <c r="D192" t="s">
        <v>59</v>
      </c>
      <c r="E192">
        <v>-16.767199999999999</v>
      </c>
      <c r="F192">
        <v>-64.814800000000005</v>
      </c>
      <c r="H192">
        <v>53.13</v>
      </c>
      <c r="J192">
        <f t="shared" si="16"/>
        <v>3.1799999999999997</v>
      </c>
      <c r="K192">
        <v>123.69</v>
      </c>
      <c r="L192">
        <f t="shared" si="17"/>
        <v>56.31</v>
      </c>
      <c r="O192" s="2">
        <v>3.9938000000000001E-2</v>
      </c>
    </row>
    <row r="193" spans="1:16" ht="14.25" thickBot="1">
      <c r="A193">
        <v>757</v>
      </c>
      <c r="B193" t="s">
        <v>10</v>
      </c>
      <c r="C193">
        <v>1</v>
      </c>
      <c r="D193" t="s">
        <v>61</v>
      </c>
      <c r="E193">
        <v>-16.914200000000001</v>
      </c>
      <c r="F193">
        <v>-65.086699999999993</v>
      </c>
      <c r="H193">
        <v>93.73</v>
      </c>
      <c r="J193">
        <f t="shared" si="16"/>
        <v>50.13000000000001</v>
      </c>
      <c r="K193">
        <v>136.4</v>
      </c>
      <c r="L193">
        <f t="shared" si="17"/>
        <v>43.599999999999994</v>
      </c>
      <c r="O193" s="2">
        <v>0.83148900000000003</v>
      </c>
    </row>
    <row r="194" spans="1:16" ht="14.25" thickBot="1">
      <c r="A194">
        <v>758</v>
      </c>
      <c r="B194" t="s">
        <v>10</v>
      </c>
      <c r="C194">
        <v>1</v>
      </c>
      <c r="D194" t="s">
        <v>63</v>
      </c>
      <c r="E194">
        <v>-16.644300000000001</v>
      </c>
      <c r="F194">
        <v>-64.764799999999994</v>
      </c>
      <c r="H194">
        <v>81.599999999999994</v>
      </c>
      <c r="J194">
        <f t="shared" si="16"/>
        <v>30.359999999999985</v>
      </c>
      <c r="K194">
        <v>128.76</v>
      </c>
      <c r="L194">
        <f t="shared" si="17"/>
        <v>51.240000000000009</v>
      </c>
      <c r="O194" s="2">
        <v>0.17834800000000001</v>
      </c>
    </row>
    <row r="195" spans="1:16" ht="14.25" thickBot="1">
      <c r="A195">
        <v>763</v>
      </c>
      <c r="B195" t="s">
        <v>10</v>
      </c>
      <c r="C195">
        <v>1</v>
      </c>
      <c r="D195" t="s">
        <v>63</v>
      </c>
      <c r="E195">
        <v>-16.168099999999999</v>
      </c>
      <c r="F195">
        <v>-64.686000000000007</v>
      </c>
      <c r="H195">
        <v>80.45</v>
      </c>
      <c r="J195">
        <f t="shared" si="16"/>
        <v>35.959999999999994</v>
      </c>
      <c r="K195">
        <v>135.51</v>
      </c>
      <c r="L195">
        <f t="shared" ref="L195:L218" si="18">180-K195</f>
        <v>44.490000000000009</v>
      </c>
      <c r="O195" s="2">
        <v>0.138073</v>
      </c>
    </row>
    <row r="196" spans="1:16" ht="14.25" thickBot="1">
      <c r="A196">
        <v>767</v>
      </c>
      <c r="B196" t="s">
        <v>10</v>
      </c>
      <c r="C196">
        <v>1</v>
      </c>
      <c r="D196" t="s">
        <v>63</v>
      </c>
      <c r="E196">
        <v>-16.553899999999999</v>
      </c>
      <c r="F196">
        <v>-64.759900000000002</v>
      </c>
      <c r="H196">
        <v>125.08</v>
      </c>
      <c r="J196">
        <f t="shared" ref="J196:J218" si="19">ABS(H196-L196)</f>
        <v>58.929999999999993</v>
      </c>
      <c r="K196">
        <v>113.85</v>
      </c>
      <c r="L196">
        <f t="shared" si="18"/>
        <v>66.150000000000006</v>
      </c>
      <c r="O196" s="2">
        <v>3.1480000000000001E-2</v>
      </c>
    </row>
    <row r="197" spans="1:16" ht="14.25" thickBot="1">
      <c r="A197">
        <v>768</v>
      </c>
      <c r="B197" t="s">
        <v>10</v>
      </c>
      <c r="C197">
        <v>1</v>
      </c>
      <c r="D197" t="s">
        <v>63</v>
      </c>
      <c r="E197">
        <v>-16.0076</v>
      </c>
      <c r="F197">
        <v>-64.729200000000006</v>
      </c>
      <c r="H197">
        <v>55.39</v>
      </c>
      <c r="J197">
        <f t="shared" si="19"/>
        <v>30</v>
      </c>
      <c r="K197">
        <v>94.61</v>
      </c>
      <c r="L197">
        <f t="shared" si="18"/>
        <v>85.39</v>
      </c>
      <c r="O197" s="2">
        <v>5.8618000000000003E-2</v>
      </c>
    </row>
    <row r="198" spans="1:16" ht="14.25" thickBot="1">
      <c r="A198">
        <v>769</v>
      </c>
      <c r="B198" t="s">
        <v>10</v>
      </c>
      <c r="C198">
        <v>1</v>
      </c>
      <c r="D198" t="s">
        <v>63</v>
      </c>
      <c r="E198">
        <v>-16.0181</v>
      </c>
      <c r="F198">
        <v>-64.727500000000006</v>
      </c>
      <c r="H198">
        <v>43.9</v>
      </c>
      <c r="J198">
        <f t="shared" si="19"/>
        <v>26.589999999999996</v>
      </c>
      <c r="K198">
        <v>109.51</v>
      </c>
      <c r="L198">
        <f t="shared" si="18"/>
        <v>70.489999999999995</v>
      </c>
      <c r="O198" s="2">
        <v>5.8618000000000003E-2</v>
      </c>
    </row>
    <row r="199" spans="1:16" ht="14.25" thickBot="1">
      <c r="A199">
        <v>772</v>
      </c>
      <c r="B199" t="s">
        <v>12</v>
      </c>
      <c r="C199">
        <v>0</v>
      </c>
      <c r="D199" t="s">
        <v>63</v>
      </c>
      <c r="E199">
        <v>-15.9002</v>
      </c>
      <c r="F199">
        <v>-64.747399999999999</v>
      </c>
      <c r="H199">
        <v>47.6</v>
      </c>
      <c r="J199">
        <f t="shared" si="19"/>
        <v>9.1399999999999935</v>
      </c>
      <c r="K199">
        <v>123.26</v>
      </c>
      <c r="L199">
        <f t="shared" si="18"/>
        <v>56.739999999999995</v>
      </c>
      <c r="O199" s="7">
        <v>0</v>
      </c>
    </row>
    <row r="200" spans="1:16" ht="14.25" thickBot="1">
      <c r="A200">
        <v>774</v>
      </c>
      <c r="B200" t="s">
        <v>10</v>
      </c>
      <c r="C200">
        <v>1</v>
      </c>
      <c r="D200" t="s">
        <v>63</v>
      </c>
      <c r="E200">
        <v>-16.063800000000001</v>
      </c>
      <c r="F200">
        <v>-64.706599999999995</v>
      </c>
      <c r="H200">
        <v>85.24</v>
      </c>
      <c r="J200">
        <f t="shared" si="19"/>
        <v>61.279999999999987</v>
      </c>
      <c r="K200">
        <v>156.04</v>
      </c>
      <c r="L200">
        <f t="shared" si="18"/>
        <v>23.960000000000008</v>
      </c>
      <c r="O200" s="2">
        <v>5.8618000000000003E-2</v>
      </c>
    </row>
    <row r="201" spans="1:16" ht="14.25" thickBot="1">
      <c r="A201">
        <v>776</v>
      </c>
      <c r="B201" t="s">
        <v>10</v>
      </c>
      <c r="C201">
        <v>1</v>
      </c>
      <c r="D201" t="s">
        <v>63</v>
      </c>
      <c r="E201">
        <v>-16.169799999999999</v>
      </c>
      <c r="F201">
        <v>-64.698300000000003</v>
      </c>
      <c r="H201">
        <v>63.14</v>
      </c>
      <c r="J201">
        <f t="shared" si="19"/>
        <v>27.540000000000006</v>
      </c>
      <c r="K201">
        <v>144.4</v>
      </c>
      <c r="L201">
        <f t="shared" si="18"/>
        <v>35.599999999999994</v>
      </c>
      <c r="O201" s="2">
        <v>0.138073</v>
      </c>
    </row>
    <row r="202" spans="1:16" ht="14.25" thickBot="1">
      <c r="A202">
        <v>777</v>
      </c>
      <c r="B202" t="s">
        <v>10</v>
      </c>
      <c r="C202">
        <v>1</v>
      </c>
      <c r="D202" t="s">
        <v>63</v>
      </c>
      <c r="E202">
        <v>-15.649800000000001</v>
      </c>
      <c r="F202">
        <v>-64.779499999999999</v>
      </c>
      <c r="H202">
        <v>91.94</v>
      </c>
      <c r="J202">
        <f t="shared" si="19"/>
        <v>52.120000000000005</v>
      </c>
      <c r="K202">
        <v>140.18</v>
      </c>
      <c r="L202">
        <f t="shared" si="18"/>
        <v>39.819999999999993</v>
      </c>
      <c r="O202" s="2">
        <v>5.7674000000000003E-2</v>
      </c>
    </row>
    <row r="203" spans="1:16" ht="14.25" thickBot="1">
      <c r="A203">
        <v>778</v>
      </c>
      <c r="B203" t="s">
        <v>10</v>
      </c>
      <c r="C203">
        <v>1</v>
      </c>
      <c r="D203" t="s">
        <v>63</v>
      </c>
      <c r="E203">
        <v>-15.569699999999999</v>
      </c>
      <c r="F203">
        <v>-64.787199999999999</v>
      </c>
      <c r="H203">
        <v>103.64</v>
      </c>
      <c r="J203">
        <f t="shared" si="19"/>
        <v>6.1099999999999994</v>
      </c>
      <c r="K203">
        <v>82.47</v>
      </c>
      <c r="L203">
        <f t="shared" si="18"/>
        <v>97.53</v>
      </c>
      <c r="O203" s="2">
        <v>7.3195999999999997E-2</v>
      </c>
    </row>
    <row r="204" spans="1:16" ht="14.25" thickBot="1">
      <c r="A204">
        <v>779</v>
      </c>
      <c r="B204" t="s">
        <v>10</v>
      </c>
      <c r="C204">
        <v>1</v>
      </c>
      <c r="D204" t="s">
        <v>63</v>
      </c>
      <c r="E204">
        <v>-15.165800000000001</v>
      </c>
      <c r="F204">
        <v>-65.015199999999993</v>
      </c>
      <c r="H204">
        <v>118.69</v>
      </c>
      <c r="J204">
        <f t="shared" si="19"/>
        <v>40.739999999999995</v>
      </c>
      <c r="K204">
        <v>102.05</v>
      </c>
      <c r="L204">
        <f t="shared" si="18"/>
        <v>77.95</v>
      </c>
      <c r="O204" s="7">
        <v>0</v>
      </c>
    </row>
    <row r="205" spans="1:16" ht="14.25" thickBot="1">
      <c r="A205">
        <v>780</v>
      </c>
      <c r="B205" t="s">
        <v>10</v>
      </c>
      <c r="C205">
        <v>1</v>
      </c>
      <c r="D205" t="s">
        <v>63</v>
      </c>
      <c r="E205">
        <v>-14.956</v>
      </c>
      <c r="F205">
        <v>-64.989099999999993</v>
      </c>
      <c r="H205">
        <v>49.38</v>
      </c>
      <c r="J205">
        <f t="shared" si="19"/>
        <v>4.5900000000000105</v>
      </c>
      <c r="K205">
        <v>135.21</v>
      </c>
      <c r="L205">
        <f t="shared" si="18"/>
        <v>44.789999999999992</v>
      </c>
      <c r="O205" s="2">
        <v>3.5557999999999999E-2</v>
      </c>
      <c r="P205" s="2">
        <v>9.9720000000000003E-2</v>
      </c>
    </row>
    <row r="206" spans="1:16" ht="14.25" thickBot="1">
      <c r="A206">
        <v>781</v>
      </c>
      <c r="B206" t="s">
        <v>12</v>
      </c>
      <c r="C206">
        <v>0</v>
      </c>
      <c r="D206" t="s">
        <v>63</v>
      </c>
      <c r="E206">
        <v>-14.879200000000001</v>
      </c>
      <c r="F206">
        <v>-65.042199999999994</v>
      </c>
      <c r="H206">
        <v>36.700000000000003</v>
      </c>
      <c r="J206">
        <f t="shared" si="19"/>
        <v>81.41</v>
      </c>
      <c r="K206">
        <v>61.89</v>
      </c>
      <c r="L206">
        <f t="shared" si="18"/>
        <v>118.11</v>
      </c>
      <c r="O206" s="2">
        <v>0.22362000000000001</v>
      </c>
    </row>
    <row r="207" spans="1:16">
      <c r="A207">
        <v>782</v>
      </c>
      <c r="B207" t="s">
        <v>10</v>
      </c>
      <c r="C207">
        <v>1</v>
      </c>
      <c r="D207" t="s">
        <v>63</v>
      </c>
      <c r="E207">
        <v>-14.726699999999999</v>
      </c>
      <c r="F207">
        <v>-65.032700000000006</v>
      </c>
      <c r="H207">
        <v>127.3</v>
      </c>
      <c r="J207">
        <f t="shared" si="19"/>
        <v>90.600000000000009</v>
      </c>
      <c r="K207">
        <v>143.30000000000001</v>
      </c>
      <c r="L207">
        <f t="shared" si="18"/>
        <v>36.699999999999989</v>
      </c>
      <c r="O207" s="7">
        <v>0</v>
      </c>
    </row>
    <row r="208" spans="1:16" ht="14.25" thickBot="1">
      <c r="A208">
        <v>783</v>
      </c>
      <c r="B208" t="s">
        <v>10</v>
      </c>
      <c r="C208">
        <v>1</v>
      </c>
      <c r="D208" t="s">
        <v>63</v>
      </c>
      <c r="E208">
        <v>-15.212</v>
      </c>
      <c r="F208">
        <v>-64.938599999999994</v>
      </c>
      <c r="H208">
        <v>69.790000000000006</v>
      </c>
      <c r="J208">
        <f t="shared" si="19"/>
        <v>11.970000000000013</v>
      </c>
      <c r="K208">
        <v>122.18</v>
      </c>
      <c r="L208">
        <f t="shared" si="18"/>
        <v>57.819999999999993</v>
      </c>
      <c r="O208" s="7">
        <v>0</v>
      </c>
    </row>
    <row r="209" spans="1:16" ht="14.25" thickBot="1">
      <c r="A209">
        <v>785</v>
      </c>
      <c r="B209" t="s">
        <v>12</v>
      </c>
      <c r="C209">
        <v>0</v>
      </c>
      <c r="D209" t="s">
        <v>63</v>
      </c>
      <c r="E209">
        <v>-14.813599999999999</v>
      </c>
      <c r="F209">
        <v>-65.040599999999998</v>
      </c>
      <c r="H209">
        <v>52.4</v>
      </c>
      <c r="J209">
        <f t="shared" si="19"/>
        <v>49.480000000000011</v>
      </c>
      <c r="K209">
        <v>177.08</v>
      </c>
      <c r="L209">
        <f t="shared" si="18"/>
        <v>2.9199999999999875</v>
      </c>
      <c r="O209" s="2">
        <v>2.0926E-2</v>
      </c>
      <c r="P209" s="2">
        <v>0.22362000000000001</v>
      </c>
    </row>
    <row r="210" spans="1:16" ht="14.25" thickBot="1">
      <c r="A210">
        <v>787</v>
      </c>
      <c r="B210" t="s">
        <v>10</v>
      </c>
      <c r="C210">
        <v>1</v>
      </c>
      <c r="D210" t="s">
        <v>63</v>
      </c>
      <c r="E210">
        <v>-14.661199999999999</v>
      </c>
      <c r="F210">
        <v>-65.039299999999997</v>
      </c>
      <c r="H210">
        <v>87.81</v>
      </c>
      <c r="J210">
        <f t="shared" si="19"/>
        <v>37.56</v>
      </c>
      <c r="K210">
        <v>129.75</v>
      </c>
      <c r="L210">
        <f t="shared" si="18"/>
        <v>50.25</v>
      </c>
      <c r="O210" s="2">
        <v>2.6318000000000001E-2</v>
      </c>
    </row>
    <row r="211" spans="1:16" ht="14.25" thickBot="1">
      <c r="A211">
        <v>788</v>
      </c>
      <c r="B211" t="s">
        <v>10</v>
      </c>
      <c r="C211">
        <v>1</v>
      </c>
      <c r="D211" t="s">
        <v>63</v>
      </c>
      <c r="E211">
        <v>-14.448600000000001</v>
      </c>
      <c r="F211">
        <v>-64.986500000000007</v>
      </c>
      <c r="H211">
        <v>96.8</v>
      </c>
      <c r="J211">
        <f t="shared" si="19"/>
        <v>95.160000000000011</v>
      </c>
      <c r="K211">
        <v>178.36</v>
      </c>
      <c r="L211">
        <f t="shared" si="18"/>
        <v>1.6399999999999864</v>
      </c>
      <c r="O211" s="2">
        <v>3.3439000000000003E-2</v>
      </c>
    </row>
    <row r="212" spans="1:16" ht="14.25" thickBot="1">
      <c r="A212">
        <v>789</v>
      </c>
      <c r="B212" t="s">
        <v>10</v>
      </c>
      <c r="C212">
        <v>1</v>
      </c>
      <c r="D212" t="s">
        <v>63</v>
      </c>
      <c r="E212">
        <v>-15.2819</v>
      </c>
      <c r="F212">
        <v>-64.954499999999996</v>
      </c>
      <c r="H212">
        <v>80.959999999999994</v>
      </c>
      <c r="J212">
        <f t="shared" si="19"/>
        <v>49.980000000000004</v>
      </c>
      <c r="K212">
        <v>149.02000000000001</v>
      </c>
      <c r="L212">
        <f t="shared" si="18"/>
        <v>30.97999999999999</v>
      </c>
      <c r="O212" s="2">
        <v>6.2552999999999997E-2</v>
      </c>
    </row>
    <row r="213" spans="1:16" ht="14.25" thickBot="1">
      <c r="A213">
        <v>790</v>
      </c>
      <c r="B213" t="s">
        <v>10</v>
      </c>
      <c r="C213">
        <v>1</v>
      </c>
      <c r="D213" t="s">
        <v>63</v>
      </c>
      <c r="E213">
        <v>-15.7598</v>
      </c>
      <c r="F213">
        <v>-64.750399999999999</v>
      </c>
      <c r="H213">
        <v>59.04</v>
      </c>
      <c r="J213">
        <f t="shared" si="19"/>
        <v>30.650000000000013</v>
      </c>
      <c r="K213">
        <v>151.61000000000001</v>
      </c>
      <c r="L213">
        <f t="shared" si="18"/>
        <v>28.389999999999986</v>
      </c>
      <c r="O213" s="2">
        <v>5.4073000000000003E-2</v>
      </c>
    </row>
    <row r="214" spans="1:16">
      <c r="A214">
        <v>791</v>
      </c>
      <c r="B214" t="s">
        <v>10</v>
      </c>
      <c r="C214">
        <v>1</v>
      </c>
      <c r="D214" t="s">
        <v>63</v>
      </c>
      <c r="E214">
        <v>-14.701499999999999</v>
      </c>
      <c r="F214">
        <v>-65.043400000000005</v>
      </c>
      <c r="H214">
        <v>80.94</v>
      </c>
      <c r="J214">
        <f t="shared" si="19"/>
        <v>17.590000000000003</v>
      </c>
      <c r="K214">
        <v>116.65</v>
      </c>
      <c r="L214">
        <f t="shared" si="18"/>
        <v>63.349999999999994</v>
      </c>
      <c r="O214" s="7">
        <v>0</v>
      </c>
    </row>
    <row r="215" spans="1:16" ht="15" thickBot="1">
      <c r="A215">
        <v>794</v>
      </c>
      <c r="B215" t="s">
        <v>10</v>
      </c>
      <c r="C215">
        <v>1</v>
      </c>
      <c r="D215" t="s">
        <v>63</v>
      </c>
      <c r="E215">
        <v>-14.3864</v>
      </c>
      <c r="F215">
        <v>-64.953800000000001</v>
      </c>
      <c r="H215">
        <v>130.77000000000001</v>
      </c>
      <c r="J215">
        <f t="shared" si="19"/>
        <v>62.240000000000009</v>
      </c>
      <c r="K215">
        <v>111.47</v>
      </c>
      <c r="L215">
        <f t="shared" si="18"/>
        <v>68.53</v>
      </c>
      <c r="O215" s="3">
        <v>4.6358999999999997E-2</v>
      </c>
    </row>
    <row r="216" spans="1:16" ht="14.25" thickBot="1">
      <c r="A216">
        <v>797</v>
      </c>
      <c r="B216" t="s">
        <v>10</v>
      </c>
      <c r="C216">
        <v>1</v>
      </c>
      <c r="D216" t="s">
        <v>63</v>
      </c>
      <c r="E216">
        <v>-13.7903</v>
      </c>
      <c r="F216">
        <v>-65.249499999999998</v>
      </c>
      <c r="H216">
        <v>115.94</v>
      </c>
      <c r="J216">
        <f t="shared" si="19"/>
        <v>53.58</v>
      </c>
      <c r="K216">
        <v>117.64</v>
      </c>
      <c r="L216">
        <f t="shared" si="18"/>
        <v>62.36</v>
      </c>
      <c r="O216" s="2">
        <v>3.2590000000000002E-3</v>
      </c>
    </row>
    <row r="217" spans="1:16" ht="14.25" thickBot="1">
      <c r="A217">
        <v>798</v>
      </c>
      <c r="B217" t="s">
        <v>10</v>
      </c>
      <c r="C217">
        <v>1</v>
      </c>
      <c r="D217" t="s">
        <v>63</v>
      </c>
      <c r="E217">
        <v>-13.721</v>
      </c>
      <c r="F217">
        <v>-65.307299999999998</v>
      </c>
      <c r="H217">
        <v>47.46</v>
      </c>
      <c r="J217">
        <f t="shared" si="19"/>
        <v>14.059999999999995</v>
      </c>
      <c r="K217">
        <v>146.6</v>
      </c>
      <c r="L217">
        <f t="shared" si="18"/>
        <v>33.400000000000006</v>
      </c>
      <c r="O217" s="7">
        <v>0</v>
      </c>
    </row>
    <row r="218" spans="1:16" ht="14.25" thickBot="1">
      <c r="A218">
        <v>804</v>
      </c>
      <c r="B218" t="s">
        <v>10</v>
      </c>
      <c r="C218">
        <v>1</v>
      </c>
      <c r="D218" t="s">
        <v>63</v>
      </c>
      <c r="E218">
        <v>-12.898</v>
      </c>
      <c r="F218">
        <v>-65.034400000000005</v>
      </c>
      <c r="H218">
        <v>71.94</v>
      </c>
      <c r="J218">
        <f t="shared" si="19"/>
        <v>38.740000000000009</v>
      </c>
      <c r="K218">
        <v>146.80000000000001</v>
      </c>
      <c r="L218">
        <f t="shared" si="18"/>
        <v>33.199999999999989</v>
      </c>
      <c r="O218" s="2">
        <v>8.6032999999999998E-2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5FF6-1DE4-4ACC-A67B-073255662684}">
  <dimension ref="A1:K219"/>
  <sheetViews>
    <sheetView workbookViewId="0">
      <selection activeCell="K40" sqref="K40"/>
    </sheetView>
  </sheetViews>
  <sheetFormatPr defaultRowHeight="13.5"/>
  <cols>
    <col min="4" max="4" width="12.875" customWidth="1"/>
    <col min="9" max="9" width="17.375" customWidth="1"/>
  </cols>
  <sheetData>
    <row r="1" spans="1:11">
      <c r="A1" s="48" t="s">
        <v>86</v>
      </c>
      <c r="B1" s="48" t="s">
        <v>148</v>
      </c>
      <c r="C1" s="48" t="s">
        <v>149</v>
      </c>
      <c r="D1" s="48" t="s">
        <v>130</v>
      </c>
      <c r="E1" s="48" t="s">
        <v>150</v>
      </c>
      <c r="F1" s="48" t="s">
        <v>151</v>
      </c>
      <c r="I1" s="48" t="s">
        <v>131</v>
      </c>
      <c r="K1" s="48" t="s">
        <v>151</v>
      </c>
    </row>
    <row r="2" spans="1:11">
      <c r="A2">
        <v>12</v>
      </c>
      <c r="B2">
        <v>576000</v>
      </c>
      <c r="C2">
        <v>397800</v>
      </c>
      <c r="D2">
        <v>290700</v>
      </c>
      <c r="E2">
        <f>D2/(C2+B2)</f>
        <v>0.29852125693160814</v>
      </c>
      <c r="F2">
        <f>1-E2</f>
        <v>0.70147874306839186</v>
      </c>
      <c r="I2">
        <v>0</v>
      </c>
      <c r="J2">
        <f>I2+D2</f>
        <v>290700</v>
      </c>
      <c r="K2">
        <f>1-J2/(B2+C2)</f>
        <v>0.70147874306839186</v>
      </c>
    </row>
    <row r="3" spans="1:11">
      <c r="A3">
        <v>15</v>
      </c>
      <c r="B3">
        <v>839700</v>
      </c>
      <c r="C3">
        <v>981900</v>
      </c>
      <c r="D3">
        <v>698400</v>
      </c>
      <c r="E3">
        <f t="shared" ref="E3:E66" si="0">D3/(C3+B3)</f>
        <v>0.38339920948616601</v>
      </c>
      <c r="F3">
        <f t="shared" ref="F3:F66" si="1">1-E3</f>
        <v>0.61660079051383399</v>
      </c>
      <c r="I3">
        <v>13500</v>
      </c>
      <c r="J3">
        <f t="shared" ref="J3:J66" si="2">I3+D3</f>
        <v>711900</v>
      </c>
      <c r="K3">
        <f t="shared" ref="K3:K66" si="3">1-J3/(B3+C3)</f>
        <v>0.60918972332015808</v>
      </c>
    </row>
    <row r="4" spans="1:11">
      <c r="A4">
        <v>42</v>
      </c>
      <c r="B4">
        <v>303300</v>
      </c>
      <c r="C4">
        <v>321300</v>
      </c>
      <c r="D4">
        <v>183600</v>
      </c>
      <c r="E4">
        <f t="shared" si="0"/>
        <v>0.29394812680115273</v>
      </c>
      <c r="F4">
        <f t="shared" si="1"/>
        <v>0.70605187319884721</v>
      </c>
      <c r="I4">
        <v>7200</v>
      </c>
      <c r="J4">
        <f t="shared" si="2"/>
        <v>190800</v>
      </c>
      <c r="K4">
        <f t="shared" si="3"/>
        <v>0.6945244956772334</v>
      </c>
    </row>
    <row r="5" spans="1:11">
      <c r="A5">
        <v>44</v>
      </c>
      <c r="B5">
        <v>354600</v>
      </c>
      <c r="C5">
        <v>511200</v>
      </c>
      <c r="D5">
        <v>279900</v>
      </c>
      <c r="E5">
        <f t="shared" si="0"/>
        <v>0.32328482328482328</v>
      </c>
      <c r="F5">
        <f t="shared" si="1"/>
        <v>0.67671517671517667</v>
      </c>
      <c r="I5">
        <v>0</v>
      </c>
      <c r="J5">
        <f t="shared" si="2"/>
        <v>279900</v>
      </c>
      <c r="K5">
        <f t="shared" si="3"/>
        <v>0.67671517671517667</v>
      </c>
    </row>
    <row r="6" spans="1:11">
      <c r="A6">
        <v>45</v>
      </c>
      <c r="B6">
        <v>281700</v>
      </c>
      <c r="C6">
        <v>279000</v>
      </c>
      <c r="D6">
        <v>100800</v>
      </c>
      <c r="E6">
        <f t="shared" si="0"/>
        <v>0.1797752808988764</v>
      </c>
      <c r="F6">
        <f t="shared" si="1"/>
        <v>0.8202247191011236</v>
      </c>
      <c r="I6">
        <v>13500</v>
      </c>
      <c r="J6">
        <f t="shared" si="2"/>
        <v>114300</v>
      </c>
      <c r="K6">
        <f t="shared" si="3"/>
        <v>0.7961476725521669</v>
      </c>
    </row>
    <row r="7" spans="1:11">
      <c r="A7">
        <v>48</v>
      </c>
      <c r="B7">
        <v>462600</v>
      </c>
      <c r="C7">
        <v>515700</v>
      </c>
      <c r="D7">
        <v>31500</v>
      </c>
      <c r="E7">
        <f t="shared" si="0"/>
        <v>3.219871205151794E-2</v>
      </c>
      <c r="F7">
        <f t="shared" si="1"/>
        <v>0.96780128794848208</v>
      </c>
      <c r="I7">
        <v>100800</v>
      </c>
      <c r="J7">
        <f t="shared" si="2"/>
        <v>132300</v>
      </c>
      <c r="K7">
        <f t="shared" si="3"/>
        <v>0.86476540938362467</v>
      </c>
    </row>
    <row r="8" spans="1:11">
      <c r="A8">
        <v>52</v>
      </c>
      <c r="B8">
        <v>350100</v>
      </c>
      <c r="C8">
        <v>459900</v>
      </c>
      <c r="D8">
        <v>81900</v>
      </c>
      <c r="E8">
        <f t="shared" si="0"/>
        <v>0.10111111111111111</v>
      </c>
      <c r="F8">
        <f t="shared" si="1"/>
        <v>0.89888888888888885</v>
      </c>
      <c r="I8">
        <v>91800</v>
      </c>
      <c r="J8">
        <f t="shared" si="2"/>
        <v>173700</v>
      </c>
      <c r="K8">
        <f t="shared" si="3"/>
        <v>0.78555555555555556</v>
      </c>
    </row>
    <row r="9" spans="1:11">
      <c r="A9">
        <v>54</v>
      </c>
      <c r="B9">
        <v>444600</v>
      </c>
      <c r="C9">
        <v>268200</v>
      </c>
      <c r="D9">
        <v>189900</v>
      </c>
      <c r="E9">
        <f t="shared" si="0"/>
        <v>0.26641414141414144</v>
      </c>
      <c r="F9">
        <f t="shared" si="1"/>
        <v>0.73358585858585856</v>
      </c>
      <c r="I9">
        <v>85500</v>
      </c>
      <c r="J9">
        <f t="shared" si="2"/>
        <v>275400</v>
      </c>
      <c r="K9">
        <f t="shared" si="3"/>
        <v>0.61363636363636365</v>
      </c>
    </row>
    <row r="10" spans="1:11">
      <c r="A10">
        <v>56</v>
      </c>
      <c r="B10">
        <v>306900</v>
      </c>
      <c r="C10">
        <v>248400</v>
      </c>
      <c r="D10">
        <v>117900</v>
      </c>
      <c r="E10">
        <f t="shared" si="0"/>
        <v>0.21231766612641814</v>
      </c>
      <c r="F10">
        <f t="shared" si="1"/>
        <v>0.78768233387358189</v>
      </c>
      <c r="I10">
        <v>90000</v>
      </c>
      <c r="J10">
        <f t="shared" si="2"/>
        <v>207900</v>
      </c>
      <c r="K10">
        <f t="shared" si="3"/>
        <v>0.62560777957860614</v>
      </c>
    </row>
    <row r="11" spans="1:11">
      <c r="A11">
        <v>76</v>
      </c>
      <c r="B11">
        <v>191700</v>
      </c>
      <c r="C11">
        <v>180900</v>
      </c>
      <c r="D11">
        <v>136800</v>
      </c>
      <c r="E11">
        <f t="shared" si="0"/>
        <v>0.3671497584541063</v>
      </c>
      <c r="F11">
        <f t="shared" si="1"/>
        <v>0.63285024154589364</v>
      </c>
      <c r="I11">
        <v>4500</v>
      </c>
      <c r="J11">
        <f t="shared" si="2"/>
        <v>141300</v>
      </c>
      <c r="K11">
        <f t="shared" si="3"/>
        <v>0.62077294685990336</v>
      </c>
    </row>
    <row r="12" spans="1:11">
      <c r="A12">
        <v>87</v>
      </c>
      <c r="B12">
        <v>118800</v>
      </c>
      <c r="C12">
        <v>105300</v>
      </c>
      <c r="E12">
        <f t="shared" si="0"/>
        <v>0</v>
      </c>
      <c r="F12">
        <f t="shared" si="1"/>
        <v>1</v>
      </c>
      <c r="J12">
        <f t="shared" si="2"/>
        <v>0</v>
      </c>
      <c r="K12">
        <f t="shared" si="3"/>
        <v>1</v>
      </c>
    </row>
    <row r="13" spans="1:11">
      <c r="A13">
        <v>114</v>
      </c>
      <c r="B13">
        <v>311400</v>
      </c>
      <c r="C13">
        <v>385200</v>
      </c>
      <c r="D13">
        <v>81000</v>
      </c>
      <c r="E13">
        <f t="shared" si="0"/>
        <v>0.11627906976744186</v>
      </c>
      <c r="F13">
        <f t="shared" si="1"/>
        <v>0.88372093023255816</v>
      </c>
      <c r="I13">
        <v>7200</v>
      </c>
      <c r="J13">
        <f t="shared" si="2"/>
        <v>88200</v>
      </c>
      <c r="K13">
        <f t="shared" si="3"/>
        <v>0.87338501291989667</v>
      </c>
    </row>
    <row r="14" spans="1:11">
      <c r="A14">
        <v>128</v>
      </c>
      <c r="B14">
        <v>351000</v>
      </c>
      <c r="C14">
        <v>499500</v>
      </c>
      <c r="D14">
        <v>242100</v>
      </c>
      <c r="E14">
        <f t="shared" si="0"/>
        <v>0.28465608465608466</v>
      </c>
      <c r="F14">
        <f t="shared" si="1"/>
        <v>0.71534391534391539</v>
      </c>
      <c r="I14">
        <v>10800</v>
      </c>
      <c r="J14">
        <f t="shared" si="2"/>
        <v>252900</v>
      </c>
      <c r="K14">
        <f t="shared" si="3"/>
        <v>0.70264550264550263</v>
      </c>
    </row>
    <row r="15" spans="1:11">
      <c r="A15">
        <v>129</v>
      </c>
      <c r="B15">
        <v>425700</v>
      </c>
      <c r="C15">
        <v>452700</v>
      </c>
      <c r="D15">
        <v>361800</v>
      </c>
      <c r="E15">
        <f t="shared" si="0"/>
        <v>0.41188524590163933</v>
      </c>
      <c r="F15">
        <f t="shared" si="1"/>
        <v>0.58811475409836067</v>
      </c>
      <c r="I15">
        <v>27900</v>
      </c>
      <c r="J15">
        <f t="shared" si="2"/>
        <v>389700</v>
      </c>
      <c r="K15">
        <f t="shared" si="3"/>
        <v>0.55635245901639352</v>
      </c>
    </row>
    <row r="16" spans="1:11">
      <c r="A16">
        <v>137</v>
      </c>
      <c r="B16">
        <v>216000</v>
      </c>
      <c r="C16">
        <v>171900</v>
      </c>
      <c r="E16">
        <f t="shared" si="0"/>
        <v>0</v>
      </c>
      <c r="F16">
        <f t="shared" si="1"/>
        <v>1</v>
      </c>
      <c r="J16">
        <f t="shared" si="2"/>
        <v>0</v>
      </c>
      <c r="K16">
        <f t="shared" si="3"/>
        <v>1</v>
      </c>
    </row>
    <row r="17" spans="1:11">
      <c r="A17">
        <v>160</v>
      </c>
      <c r="B17">
        <v>3488400</v>
      </c>
      <c r="C17">
        <v>3257100</v>
      </c>
      <c r="D17">
        <v>2791800</v>
      </c>
      <c r="E17">
        <f t="shared" si="0"/>
        <v>0.41387591727818546</v>
      </c>
      <c r="F17">
        <f t="shared" si="1"/>
        <v>0.5861240827218146</v>
      </c>
      <c r="I17">
        <v>209700</v>
      </c>
      <c r="J17">
        <f t="shared" si="2"/>
        <v>3001500</v>
      </c>
      <c r="K17">
        <f t="shared" si="3"/>
        <v>0.55503669112741827</v>
      </c>
    </row>
    <row r="18" spans="1:11">
      <c r="A18">
        <v>163</v>
      </c>
      <c r="B18">
        <v>85500</v>
      </c>
      <c r="C18">
        <v>80100</v>
      </c>
      <c r="D18">
        <v>54900</v>
      </c>
      <c r="E18">
        <f t="shared" si="0"/>
        <v>0.33152173913043476</v>
      </c>
      <c r="F18">
        <f t="shared" si="1"/>
        <v>0.66847826086956519</v>
      </c>
      <c r="I18">
        <v>1800</v>
      </c>
      <c r="J18">
        <f t="shared" si="2"/>
        <v>56700</v>
      </c>
      <c r="K18">
        <f t="shared" si="3"/>
        <v>0.65760869565217384</v>
      </c>
    </row>
    <row r="19" spans="1:11">
      <c r="A19">
        <v>164</v>
      </c>
      <c r="B19">
        <v>406800</v>
      </c>
      <c r="C19">
        <v>454500</v>
      </c>
      <c r="D19">
        <v>243900</v>
      </c>
      <c r="E19">
        <f t="shared" si="0"/>
        <v>0.2831765935214211</v>
      </c>
      <c r="F19">
        <f t="shared" si="1"/>
        <v>0.7168234064785789</v>
      </c>
      <c r="I19">
        <v>36000</v>
      </c>
      <c r="J19">
        <f t="shared" si="2"/>
        <v>279900</v>
      </c>
      <c r="K19">
        <f t="shared" si="3"/>
        <v>0.67502612330198541</v>
      </c>
    </row>
    <row r="20" spans="1:11">
      <c r="A20">
        <v>165</v>
      </c>
      <c r="B20">
        <v>594900</v>
      </c>
      <c r="C20">
        <v>550800</v>
      </c>
      <c r="D20">
        <v>481500</v>
      </c>
      <c r="E20">
        <f t="shared" si="0"/>
        <v>0.42026708562450904</v>
      </c>
      <c r="F20">
        <f t="shared" si="1"/>
        <v>0.57973291437549102</v>
      </c>
      <c r="I20">
        <v>18900</v>
      </c>
      <c r="J20">
        <f t="shared" si="2"/>
        <v>500400</v>
      </c>
      <c r="K20">
        <f t="shared" si="3"/>
        <v>0.56323644933228589</v>
      </c>
    </row>
    <row r="21" spans="1:11">
      <c r="A21">
        <v>167</v>
      </c>
      <c r="B21">
        <v>187200</v>
      </c>
      <c r="C21">
        <v>255600</v>
      </c>
      <c r="D21">
        <v>151200</v>
      </c>
      <c r="E21">
        <f t="shared" si="0"/>
        <v>0.34146341463414637</v>
      </c>
      <c r="F21">
        <f t="shared" si="1"/>
        <v>0.65853658536585358</v>
      </c>
      <c r="I21">
        <v>71100</v>
      </c>
      <c r="J21">
        <f t="shared" si="2"/>
        <v>222300</v>
      </c>
      <c r="K21">
        <f t="shared" si="3"/>
        <v>0.49796747967479671</v>
      </c>
    </row>
    <row r="22" spans="1:11">
      <c r="A22">
        <v>202</v>
      </c>
      <c r="B22">
        <v>1917000</v>
      </c>
      <c r="C22">
        <v>1996200</v>
      </c>
      <c r="D22">
        <v>1017000</v>
      </c>
      <c r="E22">
        <f t="shared" si="0"/>
        <v>0.25988960441582337</v>
      </c>
      <c r="F22">
        <f t="shared" si="1"/>
        <v>0.74011039558417657</v>
      </c>
      <c r="I22">
        <v>74700</v>
      </c>
      <c r="J22">
        <f t="shared" si="2"/>
        <v>1091700</v>
      </c>
      <c r="K22">
        <f t="shared" si="3"/>
        <v>0.72102115915363385</v>
      </c>
    </row>
    <row r="23" spans="1:11">
      <c r="A23">
        <v>205</v>
      </c>
      <c r="B23">
        <v>376200</v>
      </c>
      <c r="C23">
        <v>308700</v>
      </c>
      <c r="D23">
        <v>34200</v>
      </c>
      <c r="E23">
        <f t="shared" si="0"/>
        <v>4.9934296977660969E-2</v>
      </c>
      <c r="F23">
        <f t="shared" si="1"/>
        <v>0.95006570302233906</v>
      </c>
      <c r="I23">
        <v>900</v>
      </c>
      <c r="J23">
        <f t="shared" si="2"/>
        <v>35100</v>
      </c>
      <c r="K23">
        <f t="shared" si="3"/>
        <v>0.94875164257555844</v>
      </c>
    </row>
    <row r="24" spans="1:11">
      <c r="A24">
        <v>207</v>
      </c>
      <c r="B24">
        <v>340200</v>
      </c>
      <c r="C24">
        <v>317700</v>
      </c>
      <c r="D24">
        <v>80100</v>
      </c>
      <c r="E24">
        <f t="shared" si="0"/>
        <v>0.12175102599179206</v>
      </c>
      <c r="F24">
        <f t="shared" si="1"/>
        <v>0.87824897400820789</v>
      </c>
      <c r="I24">
        <v>900</v>
      </c>
      <c r="J24">
        <f t="shared" si="2"/>
        <v>81000</v>
      </c>
      <c r="K24">
        <f t="shared" si="3"/>
        <v>0.87688098495212041</v>
      </c>
    </row>
    <row r="25" spans="1:11">
      <c r="A25">
        <v>208</v>
      </c>
      <c r="B25">
        <v>327600</v>
      </c>
      <c r="C25">
        <v>403200</v>
      </c>
      <c r="D25">
        <v>131400</v>
      </c>
      <c r="E25">
        <f t="shared" si="0"/>
        <v>0.17980295566502463</v>
      </c>
      <c r="F25">
        <f t="shared" si="1"/>
        <v>0.82019704433497531</v>
      </c>
      <c r="I25">
        <v>17100</v>
      </c>
      <c r="J25">
        <f t="shared" si="2"/>
        <v>148500</v>
      </c>
      <c r="K25">
        <f t="shared" si="3"/>
        <v>0.79679802955665024</v>
      </c>
    </row>
    <row r="26" spans="1:11">
      <c r="A26">
        <v>209</v>
      </c>
      <c r="B26">
        <v>343800</v>
      </c>
      <c r="C26">
        <v>290700</v>
      </c>
      <c r="D26">
        <v>900</v>
      </c>
      <c r="E26">
        <f t="shared" si="0"/>
        <v>1.4184397163120568E-3</v>
      </c>
      <c r="F26">
        <f t="shared" si="1"/>
        <v>0.99858156028368794</v>
      </c>
      <c r="I26">
        <v>49500</v>
      </c>
      <c r="J26">
        <f t="shared" si="2"/>
        <v>50400</v>
      </c>
      <c r="K26">
        <f t="shared" si="3"/>
        <v>0.92056737588652482</v>
      </c>
    </row>
    <row r="27" spans="1:11">
      <c r="A27">
        <v>229</v>
      </c>
      <c r="B27">
        <v>1495800</v>
      </c>
      <c r="C27">
        <v>1538100</v>
      </c>
      <c r="D27">
        <v>667800</v>
      </c>
      <c r="E27">
        <f t="shared" si="0"/>
        <v>0.22011272619400771</v>
      </c>
      <c r="F27">
        <f t="shared" si="1"/>
        <v>0.77988727380599232</v>
      </c>
      <c r="I27">
        <v>0</v>
      </c>
      <c r="J27">
        <f t="shared" si="2"/>
        <v>667800</v>
      </c>
      <c r="K27">
        <f t="shared" si="3"/>
        <v>0.77988727380599232</v>
      </c>
    </row>
    <row r="28" spans="1:11">
      <c r="A28">
        <v>230</v>
      </c>
      <c r="B28">
        <v>3735900</v>
      </c>
      <c r="C28">
        <v>5100300</v>
      </c>
      <c r="D28">
        <v>1599300</v>
      </c>
      <c r="E28">
        <f t="shared" si="0"/>
        <v>0.18099409248319415</v>
      </c>
      <c r="F28">
        <f t="shared" si="1"/>
        <v>0.81900590751680591</v>
      </c>
      <c r="I28">
        <v>11700</v>
      </c>
      <c r="J28">
        <f t="shared" si="2"/>
        <v>1611000</v>
      </c>
      <c r="K28">
        <f t="shared" si="3"/>
        <v>0.8176818089223874</v>
      </c>
    </row>
    <row r="29" spans="1:11">
      <c r="A29">
        <v>231</v>
      </c>
      <c r="B29">
        <v>302400</v>
      </c>
      <c r="C29">
        <v>304200</v>
      </c>
      <c r="D29">
        <v>202500</v>
      </c>
      <c r="E29">
        <f t="shared" si="0"/>
        <v>0.33382789317507416</v>
      </c>
      <c r="F29">
        <f t="shared" si="1"/>
        <v>0.66617210682492578</v>
      </c>
      <c r="I29">
        <v>27900</v>
      </c>
      <c r="J29">
        <f t="shared" si="2"/>
        <v>230400</v>
      </c>
      <c r="K29">
        <f t="shared" si="3"/>
        <v>0.62017804154302669</v>
      </c>
    </row>
    <row r="30" spans="1:11">
      <c r="A30">
        <v>237</v>
      </c>
      <c r="B30">
        <v>1449000</v>
      </c>
      <c r="C30">
        <v>1584900</v>
      </c>
      <c r="D30">
        <v>626400</v>
      </c>
      <c r="E30">
        <f t="shared" si="0"/>
        <v>0.20646692376149511</v>
      </c>
      <c r="F30">
        <f t="shared" si="1"/>
        <v>0.79353307623850489</v>
      </c>
      <c r="I30">
        <v>3600</v>
      </c>
      <c r="J30">
        <f t="shared" si="2"/>
        <v>630000</v>
      </c>
      <c r="K30">
        <f t="shared" si="3"/>
        <v>0.79234648472263425</v>
      </c>
    </row>
    <row r="31" spans="1:11">
      <c r="A31">
        <v>257</v>
      </c>
      <c r="B31">
        <v>417600</v>
      </c>
      <c r="C31">
        <v>360900</v>
      </c>
      <c r="D31">
        <v>10800</v>
      </c>
      <c r="E31">
        <f t="shared" si="0"/>
        <v>1.3872832369942197E-2</v>
      </c>
      <c r="F31">
        <f t="shared" si="1"/>
        <v>0.98612716763005781</v>
      </c>
      <c r="I31">
        <v>42300</v>
      </c>
      <c r="J31">
        <f t="shared" si="2"/>
        <v>53100</v>
      </c>
      <c r="K31">
        <f t="shared" si="3"/>
        <v>0.93179190751445085</v>
      </c>
    </row>
    <row r="32" spans="1:11">
      <c r="A32">
        <v>261</v>
      </c>
      <c r="B32">
        <v>428400</v>
      </c>
      <c r="C32">
        <v>484200</v>
      </c>
      <c r="D32">
        <v>18900</v>
      </c>
      <c r="E32">
        <f t="shared" si="0"/>
        <v>2.0710059171597635E-2</v>
      </c>
      <c r="F32">
        <f t="shared" si="1"/>
        <v>0.97928994082840237</v>
      </c>
      <c r="I32">
        <v>12600</v>
      </c>
      <c r="J32">
        <f t="shared" si="2"/>
        <v>31500</v>
      </c>
      <c r="K32">
        <f t="shared" si="3"/>
        <v>0.96548323471400399</v>
      </c>
    </row>
    <row r="33" spans="1:11">
      <c r="A33">
        <v>265</v>
      </c>
      <c r="B33">
        <v>756900</v>
      </c>
      <c r="C33">
        <v>1013400</v>
      </c>
      <c r="D33">
        <v>0</v>
      </c>
      <c r="E33">
        <f t="shared" si="0"/>
        <v>0</v>
      </c>
      <c r="F33">
        <f t="shared" si="1"/>
        <v>1</v>
      </c>
      <c r="I33">
        <v>0</v>
      </c>
      <c r="J33">
        <f t="shared" si="2"/>
        <v>0</v>
      </c>
      <c r="K33">
        <f t="shared" si="3"/>
        <v>1</v>
      </c>
    </row>
    <row r="34" spans="1:11">
      <c r="A34">
        <v>284</v>
      </c>
      <c r="B34">
        <v>1859400</v>
      </c>
      <c r="C34">
        <v>1170900</v>
      </c>
      <c r="D34">
        <v>468000</v>
      </c>
      <c r="E34">
        <f t="shared" si="0"/>
        <v>0.15444015444015444</v>
      </c>
      <c r="F34">
        <f t="shared" si="1"/>
        <v>0.84555984555984554</v>
      </c>
      <c r="I34">
        <v>582300</v>
      </c>
      <c r="J34">
        <f t="shared" si="2"/>
        <v>1050300</v>
      </c>
      <c r="K34">
        <f t="shared" si="3"/>
        <v>0.65340065340065334</v>
      </c>
    </row>
    <row r="35" spans="1:11">
      <c r="A35">
        <v>289</v>
      </c>
      <c r="B35">
        <v>1453500</v>
      </c>
      <c r="C35">
        <v>1359900</v>
      </c>
      <c r="E35">
        <f t="shared" si="0"/>
        <v>0</v>
      </c>
      <c r="F35">
        <f t="shared" si="1"/>
        <v>1</v>
      </c>
      <c r="J35">
        <f t="shared" si="2"/>
        <v>0</v>
      </c>
      <c r="K35">
        <f t="shared" si="3"/>
        <v>1</v>
      </c>
    </row>
    <row r="36" spans="1:11">
      <c r="A36">
        <v>290</v>
      </c>
      <c r="B36">
        <v>864900</v>
      </c>
      <c r="C36">
        <v>1027800</v>
      </c>
      <c r="D36">
        <v>15300</v>
      </c>
      <c r="E36">
        <f t="shared" si="0"/>
        <v>8.0836899667142172E-3</v>
      </c>
      <c r="F36">
        <f t="shared" si="1"/>
        <v>0.99191631003328573</v>
      </c>
      <c r="I36">
        <v>183600</v>
      </c>
      <c r="J36">
        <f t="shared" si="2"/>
        <v>198900</v>
      </c>
      <c r="K36">
        <f t="shared" si="3"/>
        <v>0.89491203043271517</v>
      </c>
    </row>
    <row r="37" spans="1:11">
      <c r="A37">
        <v>291</v>
      </c>
      <c r="B37">
        <v>3303000</v>
      </c>
      <c r="C37">
        <v>3247200</v>
      </c>
      <c r="D37">
        <v>2415600</v>
      </c>
      <c r="E37">
        <f t="shared" si="0"/>
        <v>0.36878263259137123</v>
      </c>
      <c r="F37">
        <f t="shared" si="1"/>
        <v>0.63121736740862877</v>
      </c>
      <c r="I37">
        <v>173700</v>
      </c>
      <c r="J37">
        <f t="shared" si="2"/>
        <v>2589300</v>
      </c>
      <c r="K37">
        <f t="shared" si="3"/>
        <v>0.60469909315746084</v>
      </c>
    </row>
    <row r="38" spans="1:11">
      <c r="A38">
        <v>292</v>
      </c>
      <c r="B38">
        <v>1076400</v>
      </c>
      <c r="C38">
        <v>1245600</v>
      </c>
      <c r="D38">
        <v>119700</v>
      </c>
      <c r="E38">
        <f t="shared" si="0"/>
        <v>5.1550387596899228E-2</v>
      </c>
      <c r="F38">
        <f t="shared" si="1"/>
        <v>0.94844961240310077</v>
      </c>
      <c r="I38">
        <v>112500</v>
      </c>
      <c r="J38">
        <f t="shared" si="2"/>
        <v>232200</v>
      </c>
      <c r="K38">
        <f t="shared" si="3"/>
        <v>0.9</v>
      </c>
    </row>
    <row r="39" spans="1:11">
      <c r="A39">
        <v>293</v>
      </c>
      <c r="B39">
        <v>1280700</v>
      </c>
      <c r="C39">
        <v>1369800</v>
      </c>
      <c r="D39">
        <v>165600</v>
      </c>
      <c r="E39">
        <f t="shared" si="0"/>
        <v>6.2478777589134123E-2</v>
      </c>
      <c r="F39">
        <f t="shared" si="1"/>
        <v>0.93752122241086588</v>
      </c>
      <c r="I39">
        <v>39600</v>
      </c>
      <c r="J39">
        <f t="shared" si="2"/>
        <v>205200</v>
      </c>
      <c r="K39">
        <f t="shared" si="3"/>
        <v>0.92258064516129035</v>
      </c>
    </row>
    <row r="40" spans="1:11">
      <c r="A40">
        <v>294</v>
      </c>
      <c r="B40">
        <v>876600</v>
      </c>
      <c r="C40">
        <v>752400</v>
      </c>
      <c r="D40">
        <v>97200</v>
      </c>
      <c r="E40">
        <f t="shared" si="0"/>
        <v>5.9668508287292817E-2</v>
      </c>
      <c r="F40">
        <f t="shared" si="1"/>
        <v>0.94033149171270713</v>
      </c>
      <c r="I40">
        <v>63000</v>
      </c>
      <c r="J40">
        <f t="shared" si="2"/>
        <v>160200</v>
      </c>
      <c r="K40">
        <f t="shared" si="3"/>
        <v>0.90165745856353596</v>
      </c>
    </row>
    <row r="41" spans="1:11">
      <c r="A41">
        <v>295</v>
      </c>
      <c r="B41">
        <v>1493100</v>
      </c>
      <c r="C41">
        <v>1456200</v>
      </c>
      <c r="D41">
        <v>255600</v>
      </c>
      <c r="E41">
        <f t="shared" si="0"/>
        <v>8.6664632285627097E-2</v>
      </c>
      <c r="F41">
        <f t="shared" si="1"/>
        <v>0.91333536771437296</v>
      </c>
      <c r="I41">
        <v>45000</v>
      </c>
      <c r="J41">
        <f t="shared" si="2"/>
        <v>300600</v>
      </c>
      <c r="K41">
        <f t="shared" si="3"/>
        <v>0.8980775099176076</v>
      </c>
    </row>
    <row r="42" spans="1:11">
      <c r="A42">
        <v>296</v>
      </c>
      <c r="B42">
        <v>582300</v>
      </c>
      <c r="C42">
        <v>650700</v>
      </c>
      <c r="D42">
        <v>181800</v>
      </c>
      <c r="E42">
        <f t="shared" si="0"/>
        <v>0.14744525547445256</v>
      </c>
      <c r="F42">
        <f t="shared" si="1"/>
        <v>0.85255474452554747</v>
      </c>
      <c r="I42">
        <v>303300</v>
      </c>
      <c r="J42">
        <f t="shared" si="2"/>
        <v>485100</v>
      </c>
      <c r="K42">
        <f t="shared" si="3"/>
        <v>0.60656934306569343</v>
      </c>
    </row>
    <row r="43" spans="1:11">
      <c r="A43">
        <v>297</v>
      </c>
      <c r="B43">
        <v>499500</v>
      </c>
      <c r="C43">
        <v>657900</v>
      </c>
      <c r="D43">
        <v>0</v>
      </c>
      <c r="E43">
        <f t="shared" si="0"/>
        <v>0</v>
      </c>
      <c r="F43">
        <f t="shared" si="1"/>
        <v>1</v>
      </c>
      <c r="I43">
        <v>0</v>
      </c>
      <c r="J43">
        <f t="shared" si="2"/>
        <v>0</v>
      </c>
      <c r="K43">
        <f t="shared" si="3"/>
        <v>1</v>
      </c>
    </row>
    <row r="44" spans="1:11">
      <c r="A44">
        <v>298</v>
      </c>
      <c r="B44">
        <v>710100</v>
      </c>
      <c r="C44">
        <v>711900</v>
      </c>
      <c r="D44">
        <v>453600</v>
      </c>
      <c r="E44">
        <f t="shared" si="0"/>
        <v>0.31898734177215188</v>
      </c>
      <c r="F44">
        <f t="shared" si="1"/>
        <v>0.68101265822784818</v>
      </c>
      <c r="I44">
        <v>18900</v>
      </c>
      <c r="J44">
        <f t="shared" si="2"/>
        <v>472500</v>
      </c>
      <c r="K44">
        <f t="shared" si="3"/>
        <v>0.66772151898734178</v>
      </c>
    </row>
    <row r="45" spans="1:11">
      <c r="A45">
        <v>299</v>
      </c>
      <c r="B45">
        <v>1057500</v>
      </c>
      <c r="C45">
        <v>713700</v>
      </c>
      <c r="D45">
        <v>662400</v>
      </c>
      <c r="E45">
        <f t="shared" si="0"/>
        <v>0.37398373983739835</v>
      </c>
      <c r="F45">
        <f t="shared" si="1"/>
        <v>0.62601626016260159</v>
      </c>
      <c r="I45">
        <v>124200</v>
      </c>
      <c r="J45">
        <f t="shared" si="2"/>
        <v>786600</v>
      </c>
      <c r="K45">
        <f t="shared" si="3"/>
        <v>0.55589430894308944</v>
      </c>
    </row>
    <row r="46" spans="1:11">
      <c r="A46">
        <v>300</v>
      </c>
      <c r="B46">
        <v>3145500</v>
      </c>
      <c r="C46">
        <v>1630800</v>
      </c>
      <c r="D46">
        <v>2289600</v>
      </c>
      <c r="E46">
        <f t="shared" si="0"/>
        <v>0.47936687394007915</v>
      </c>
      <c r="F46">
        <f t="shared" si="1"/>
        <v>0.52063312605992085</v>
      </c>
      <c r="I46">
        <v>41400</v>
      </c>
      <c r="J46">
        <f t="shared" si="2"/>
        <v>2331000</v>
      </c>
      <c r="K46">
        <f t="shared" si="3"/>
        <v>0.51196532881100432</v>
      </c>
    </row>
    <row r="47" spans="1:11">
      <c r="A47">
        <v>301</v>
      </c>
      <c r="B47">
        <v>396900</v>
      </c>
      <c r="C47">
        <v>389700</v>
      </c>
      <c r="D47">
        <v>75600</v>
      </c>
      <c r="E47">
        <f t="shared" si="0"/>
        <v>9.6109839816933634E-2</v>
      </c>
      <c r="F47">
        <f t="shared" si="1"/>
        <v>0.90389016018306634</v>
      </c>
      <c r="I47">
        <v>81900</v>
      </c>
      <c r="J47">
        <f t="shared" si="2"/>
        <v>157500</v>
      </c>
      <c r="K47">
        <f t="shared" si="3"/>
        <v>0.79977116704805495</v>
      </c>
    </row>
    <row r="48" spans="1:11">
      <c r="A48">
        <v>303</v>
      </c>
      <c r="B48">
        <v>296100</v>
      </c>
      <c r="C48">
        <v>261000</v>
      </c>
      <c r="D48">
        <v>88200</v>
      </c>
      <c r="E48">
        <f t="shared" si="0"/>
        <v>0.15831987075928919</v>
      </c>
      <c r="F48">
        <f t="shared" si="1"/>
        <v>0.84168012924071078</v>
      </c>
      <c r="I48">
        <v>9000</v>
      </c>
      <c r="J48">
        <f t="shared" si="2"/>
        <v>97200</v>
      </c>
      <c r="K48">
        <f t="shared" si="3"/>
        <v>0.82552504038772212</v>
      </c>
    </row>
    <row r="49" spans="1:11">
      <c r="A49">
        <v>304</v>
      </c>
      <c r="B49">
        <v>796500</v>
      </c>
      <c r="C49">
        <v>944100</v>
      </c>
      <c r="D49">
        <v>171000</v>
      </c>
      <c r="E49">
        <f t="shared" si="0"/>
        <v>9.8241985522233718E-2</v>
      </c>
      <c r="F49">
        <f t="shared" si="1"/>
        <v>0.90175801447776627</v>
      </c>
      <c r="I49">
        <v>63900</v>
      </c>
      <c r="J49">
        <f t="shared" si="2"/>
        <v>234900</v>
      </c>
      <c r="K49">
        <f t="shared" si="3"/>
        <v>0.86504653567735268</v>
      </c>
    </row>
    <row r="50" spans="1:11">
      <c r="A50">
        <v>305</v>
      </c>
      <c r="B50">
        <v>569700</v>
      </c>
      <c r="C50">
        <v>781200</v>
      </c>
      <c r="D50">
        <v>263700</v>
      </c>
      <c r="E50">
        <f t="shared" si="0"/>
        <v>0.19520319786808793</v>
      </c>
      <c r="F50">
        <f t="shared" si="1"/>
        <v>0.80479680213191207</v>
      </c>
      <c r="I50">
        <v>2700</v>
      </c>
      <c r="J50">
        <f t="shared" si="2"/>
        <v>266400</v>
      </c>
      <c r="K50">
        <f t="shared" si="3"/>
        <v>0.80279813457694871</v>
      </c>
    </row>
    <row r="51" spans="1:11">
      <c r="A51">
        <v>306</v>
      </c>
      <c r="B51">
        <v>915300</v>
      </c>
      <c r="C51">
        <v>522000</v>
      </c>
      <c r="D51">
        <v>610200</v>
      </c>
      <c r="E51">
        <f t="shared" si="0"/>
        <v>0.42454602379461492</v>
      </c>
      <c r="F51">
        <f t="shared" si="1"/>
        <v>0.57545397620538508</v>
      </c>
      <c r="I51">
        <v>41400</v>
      </c>
      <c r="J51">
        <f t="shared" si="2"/>
        <v>651600</v>
      </c>
      <c r="K51">
        <f t="shared" si="3"/>
        <v>0.54664996869129623</v>
      </c>
    </row>
    <row r="52" spans="1:11">
      <c r="A52">
        <v>310</v>
      </c>
      <c r="B52">
        <v>542700</v>
      </c>
      <c r="C52">
        <v>482400</v>
      </c>
      <c r="D52">
        <v>0</v>
      </c>
      <c r="E52">
        <f t="shared" si="0"/>
        <v>0</v>
      </c>
      <c r="F52">
        <f t="shared" si="1"/>
        <v>1</v>
      </c>
      <c r="I52">
        <v>0</v>
      </c>
      <c r="J52">
        <f t="shared" si="2"/>
        <v>0</v>
      </c>
      <c r="K52">
        <f t="shared" si="3"/>
        <v>1</v>
      </c>
    </row>
    <row r="53" spans="1:11">
      <c r="A53">
        <v>335</v>
      </c>
      <c r="B53">
        <v>2340000</v>
      </c>
      <c r="C53">
        <v>1665900</v>
      </c>
      <c r="D53">
        <v>1667700</v>
      </c>
      <c r="E53">
        <f t="shared" si="0"/>
        <v>0.41631094136149183</v>
      </c>
      <c r="F53">
        <f t="shared" si="1"/>
        <v>0.58368905863850817</v>
      </c>
      <c r="I53">
        <v>186300</v>
      </c>
      <c r="J53">
        <f t="shared" si="2"/>
        <v>1854000</v>
      </c>
      <c r="K53">
        <f t="shared" si="3"/>
        <v>0.53718265558301503</v>
      </c>
    </row>
    <row r="54" spans="1:11">
      <c r="A54">
        <v>341</v>
      </c>
      <c r="B54">
        <v>5358600</v>
      </c>
      <c r="C54">
        <v>7220700</v>
      </c>
      <c r="D54">
        <v>3468600</v>
      </c>
      <c r="E54">
        <f t="shared" si="0"/>
        <v>0.27573871360091579</v>
      </c>
      <c r="F54">
        <f t="shared" si="1"/>
        <v>0.72426128639908427</v>
      </c>
      <c r="I54">
        <v>0</v>
      </c>
      <c r="J54">
        <f t="shared" si="2"/>
        <v>3468600</v>
      </c>
      <c r="K54">
        <f t="shared" si="3"/>
        <v>0.72426128639908427</v>
      </c>
    </row>
    <row r="55" spans="1:11">
      <c r="A55">
        <v>342</v>
      </c>
      <c r="B55">
        <v>6702300</v>
      </c>
      <c r="C55">
        <v>6165000</v>
      </c>
      <c r="D55">
        <v>3609000</v>
      </c>
      <c r="E55">
        <f t="shared" si="0"/>
        <v>0.28047842204658319</v>
      </c>
      <c r="F55">
        <f t="shared" si="1"/>
        <v>0.71952157795341676</v>
      </c>
      <c r="I55">
        <v>1328400</v>
      </c>
      <c r="J55">
        <f t="shared" si="2"/>
        <v>4937400</v>
      </c>
      <c r="K55">
        <f t="shared" si="3"/>
        <v>0.61628313632230536</v>
      </c>
    </row>
    <row r="56" spans="1:11">
      <c r="A56">
        <v>370</v>
      </c>
      <c r="B56">
        <v>1130400</v>
      </c>
      <c r="C56">
        <v>1365300</v>
      </c>
      <c r="D56">
        <v>238500</v>
      </c>
      <c r="E56">
        <f t="shared" si="0"/>
        <v>9.5564370717634337E-2</v>
      </c>
      <c r="F56">
        <f t="shared" si="1"/>
        <v>0.90443562928236565</v>
      </c>
      <c r="I56">
        <v>248400</v>
      </c>
      <c r="J56">
        <f t="shared" si="2"/>
        <v>486900</v>
      </c>
      <c r="K56">
        <f t="shared" si="3"/>
        <v>0.80490443562928238</v>
      </c>
    </row>
    <row r="57" spans="1:11">
      <c r="A57">
        <v>375</v>
      </c>
      <c r="B57">
        <v>289800</v>
      </c>
      <c r="C57">
        <v>230400</v>
      </c>
      <c r="D57">
        <v>164700</v>
      </c>
      <c r="E57">
        <f t="shared" si="0"/>
        <v>0.31660899653979241</v>
      </c>
      <c r="F57">
        <f t="shared" si="1"/>
        <v>0.68339100346020754</v>
      </c>
      <c r="I57">
        <v>0</v>
      </c>
      <c r="J57">
        <f t="shared" si="2"/>
        <v>164700</v>
      </c>
      <c r="K57">
        <f t="shared" si="3"/>
        <v>0.68339100346020754</v>
      </c>
    </row>
    <row r="58" spans="1:11">
      <c r="A58">
        <v>377</v>
      </c>
      <c r="B58">
        <v>442800</v>
      </c>
      <c r="C58">
        <v>456300</v>
      </c>
      <c r="D58">
        <v>326700</v>
      </c>
      <c r="E58">
        <f t="shared" si="0"/>
        <v>0.36336336336336339</v>
      </c>
      <c r="F58">
        <f t="shared" si="1"/>
        <v>0.63663663663663661</v>
      </c>
      <c r="I58">
        <v>13500</v>
      </c>
      <c r="J58">
        <f t="shared" si="2"/>
        <v>340200</v>
      </c>
      <c r="K58">
        <f t="shared" si="3"/>
        <v>0.6216216216216216</v>
      </c>
    </row>
    <row r="59" spans="1:11">
      <c r="A59">
        <v>378</v>
      </c>
      <c r="B59">
        <v>1158300</v>
      </c>
      <c r="C59">
        <v>948600</v>
      </c>
      <c r="D59">
        <v>777600</v>
      </c>
      <c r="E59">
        <f t="shared" si="0"/>
        <v>0.36907304570696281</v>
      </c>
      <c r="F59">
        <f t="shared" si="1"/>
        <v>0.63092695429303713</v>
      </c>
      <c r="I59">
        <v>34200</v>
      </c>
      <c r="J59">
        <f t="shared" si="2"/>
        <v>811800</v>
      </c>
      <c r="K59">
        <f t="shared" si="3"/>
        <v>0.61469457496796243</v>
      </c>
    </row>
    <row r="60" spans="1:11">
      <c r="A60">
        <v>379</v>
      </c>
      <c r="B60">
        <v>369000</v>
      </c>
      <c r="C60">
        <v>209700</v>
      </c>
      <c r="D60">
        <v>153900</v>
      </c>
      <c r="E60">
        <f t="shared" si="0"/>
        <v>0.26594090202177295</v>
      </c>
      <c r="F60">
        <f t="shared" si="1"/>
        <v>0.7340590979782271</v>
      </c>
      <c r="I60">
        <v>159300</v>
      </c>
      <c r="J60">
        <f t="shared" si="2"/>
        <v>313200</v>
      </c>
      <c r="K60">
        <f t="shared" si="3"/>
        <v>0.45878693623639188</v>
      </c>
    </row>
    <row r="61" spans="1:11">
      <c r="A61">
        <v>380</v>
      </c>
      <c r="B61">
        <v>493200</v>
      </c>
      <c r="C61">
        <v>462600</v>
      </c>
      <c r="D61">
        <v>381600</v>
      </c>
      <c r="E61">
        <f t="shared" si="0"/>
        <v>0.3992467043314501</v>
      </c>
      <c r="F61">
        <f t="shared" si="1"/>
        <v>0.60075329566854996</v>
      </c>
      <c r="I61">
        <v>126900</v>
      </c>
      <c r="J61">
        <f t="shared" si="2"/>
        <v>508500</v>
      </c>
      <c r="K61">
        <f t="shared" si="3"/>
        <v>0.467984934086629</v>
      </c>
    </row>
    <row r="62" spans="1:11">
      <c r="A62">
        <v>382</v>
      </c>
      <c r="B62">
        <v>399600</v>
      </c>
      <c r="C62">
        <v>395100</v>
      </c>
      <c r="E62">
        <f t="shared" si="0"/>
        <v>0</v>
      </c>
      <c r="F62">
        <f t="shared" si="1"/>
        <v>1</v>
      </c>
      <c r="J62">
        <f t="shared" si="2"/>
        <v>0</v>
      </c>
      <c r="K62">
        <f t="shared" si="3"/>
        <v>1</v>
      </c>
    </row>
    <row r="63" spans="1:11">
      <c r="A63">
        <v>383</v>
      </c>
      <c r="B63">
        <v>742500</v>
      </c>
      <c r="C63">
        <v>423900</v>
      </c>
      <c r="D63">
        <v>288900</v>
      </c>
      <c r="E63">
        <f t="shared" si="0"/>
        <v>0.24768518518518517</v>
      </c>
      <c r="F63">
        <f t="shared" si="1"/>
        <v>0.75231481481481488</v>
      </c>
      <c r="I63">
        <v>92700</v>
      </c>
      <c r="J63">
        <f t="shared" si="2"/>
        <v>381600</v>
      </c>
      <c r="K63">
        <f t="shared" si="3"/>
        <v>0.6728395061728395</v>
      </c>
    </row>
    <row r="64" spans="1:11">
      <c r="A64">
        <v>386</v>
      </c>
      <c r="B64">
        <v>573300</v>
      </c>
      <c r="C64">
        <v>605700</v>
      </c>
      <c r="D64">
        <v>342900</v>
      </c>
      <c r="E64">
        <f t="shared" si="0"/>
        <v>0.29083969465648857</v>
      </c>
      <c r="F64">
        <f t="shared" si="1"/>
        <v>0.70916030534351138</v>
      </c>
      <c r="I64">
        <v>32400</v>
      </c>
      <c r="J64">
        <f t="shared" si="2"/>
        <v>375300</v>
      </c>
      <c r="K64">
        <f t="shared" si="3"/>
        <v>0.68167938931297711</v>
      </c>
    </row>
    <row r="65" spans="1:11">
      <c r="A65">
        <v>387</v>
      </c>
      <c r="B65">
        <v>1044900</v>
      </c>
      <c r="C65">
        <v>668700</v>
      </c>
      <c r="D65">
        <v>307800</v>
      </c>
      <c r="E65">
        <f t="shared" si="0"/>
        <v>0.1796218487394958</v>
      </c>
      <c r="F65">
        <f t="shared" si="1"/>
        <v>0.82037815126050417</v>
      </c>
      <c r="I65">
        <v>9900</v>
      </c>
      <c r="J65">
        <f t="shared" si="2"/>
        <v>317700</v>
      </c>
      <c r="K65">
        <f t="shared" si="3"/>
        <v>0.81460084033613445</v>
      </c>
    </row>
    <row r="66" spans="1:11">
      <c r="A66">
        <v>388</v>
      </c>
      <c r="B66">
        <v>504900</v>
      </c>
      <c r="C66">
        <v>470700</v>
      </c>
      <c r="D66">
        <v>45900</v>
      </c>
      <c r="E66">
        <f t="shared" si="0"/>
        <v>4.7047970479704798E-2</v>
      </c>
      <c r="F66">
        <f t="shared" si="1"/>
        <v>0.95295202952029523</v>
      </c>
      <c r="I66">
        <v>70200</v>
      </c>
      <c r="J66">
        <f t="shared" si="2"/>
        <v>116100</v>
      </c>
      <c r="K66">
        <f t="shared" si="3"/>
        <v>0.88099630996309963</v>
      </c>
    </row>
    <row r="67" spans="1:11">
      <c r="A67">
        <v>389</v>
      </c>
      <c r="B67">
        <v>724500</v>
      </c>
      <c r="C67">
        <v>653400</v>
      </c>
      <c r="D67">
        <v>423000</v>
      </c>
      <c r="E67">
        <f t="shared" ref="E67:E130" si="4">D67/(C67+B67)</f>
        <v>0.30698889614630959</v>
      </c>
      <c r="F67">
        <f t="shared" ref="F67:F130" si="5">1-E67</f>
        <v>0.69301110385369036</v>
      </c>
      <c r="I67">
        <v>53100</v>
      </c>
      <c r="J67">
        <f t="shared" ref="J67:J130" si="6">I67+D67</f>
        <v>476100</v>
      </c>
      <c r="K67">
        <f t="shared" ref="K67:K130" si="7">1-J67/(B67+C67)</f>
        <v>0.65447419986936639</v>
      </c>
    </row>
    <row r="68" spans="1:11">
      <c r="A68">
        <v>390</v>
      </c>
      <c r="B68">
        <v>15821100</v>
      </c>
      <c r="C68">
        <v>14463000</v>
      </c>
      <c r="D68">
        <v>11124144</v>
      </c>
      <c r="E68">
        <f t="shared" si="4"/>
        <v>0.3673262206900651</v>
      </c>
      <c r="F68">
        <f t="shared" si="5"/>
        <v>0.63267377930993485</v>
      </c>
      <c r="I68">
        <v>525456</v>
      </c>
      <c r="J68">
        <f t="shared" si="6"/>
        <v>11649600</v>
      </c>
      <c r="K68">
        <f t="shared" si="7"/>
        <v>0.61532289221076408</v>
      </c>
    </row>
    <row r="69" spans="1:11">
      <c r="A69">
        <v>391</v>
      </c>
      <c r="B69">
        <v>2676600</v>
      </c>
      <c r="C69">
        <v>2038500</v>
      </c>
      <c r="D69">
        <v>639000</v>
      </c>
      <c r="E69">
        <f t="shared" si="4"/>
        <v>0.13552204619202138</v>
      </c>
      <c r="F69">
        <f t="shared" si="5"/>
        <v>0.86447795380797865</v>
      </c>
      <c r="I69">
        <v>657900</v>
      </c>
      <c r="J69">
        <f t="shared" si="6"/>
        <v>1296900</v>
      </c>
      <c r="K69">
        <f t="shared" si="7"/>
        <v>0.72494750906661576</v>
      </c>
    </row>
    <row r="70" spans="1:11">
      <c r="A70">
        <v>393</v>
      </c>
      <c r="B70">
        <v>7223400</v>
      </c>
      <c r="C70">
        <v>6873300</v>
      </c>
      <c r="E70">
        <f t="shared" si="4"/>
        <v>0</v>
      </c>
      <c r="F70">
        <f t="shared" si="5"/>
        <v>1</v>
      </c>
      <c r="J70">
        <f t="shared" si="6"/>
        <v>0</v>
      </c>
      <c r="K70">
        <f t="shared" si="7"/>
        <v>1</v>
      </c>
    </row>
    <row r="71" spans="1:11">
      <c r="A71">
        <v>394</v>
      </c>
      <c r="B71">
        <v>2572200</v>
      </c>
      <c r="C71">
        <v>2583900</v>
      </c>
      <c r="D71">
        <v>615600</v>
      </c>
      <c r="E71">
        <f t="shared" si="4"/>
        <v>0.11939256414732065</v>
      </c>
      <c r="F71">
        <f t="shared" si="5"/>
        <v>0.88060743585267931</v>
      </c>
      <c r="I71">
        <v>464400</v>
      </c>
      <c r="J71">
        <f t="shared" si="6"/>
        <v>1080000</v>
      </c>
      <c r="K71">
        <f t="shared" si="7"/>
        <v>0.79053936114505152</v>
      </c>
    </row>
    <row r="72" spans="1:11">
      <c r="A72">
        <v>395</v>
      </c>
      <c r="B72">
        <v>2197800</v>
      </c>
      <c r="C72">
        <v>3627000</v>
      </c>
      <c r="D72">
        <v>1567800</v>
      </c>
      <c r="E72">
        <f t="shared" si="4"/>
        <v>0.26915945611866504</v>
      </c>
      <c r="F72">
        <f t="shared" si="5"/>
        <v>0.73084054388133501</v>
      </c>
      <c r="I72">
        <v>1574100</v>
      </c>
      <c r="J72">
        <f t="shared" si="6"/>
        <v>3141900</v>
      </c>
      <c r="K72">
        <f t="shared" si="7"/>
        <v>0.4605995055624228</v>
      </c>
    </row>
    <row r="73" spans="1:11">
      <c r="A73">
        <v>398</v>
      </c>
      <c r="B73">
        <v>6462000</v>
      </c>
      <c r="C73">
        <v>5906700</v>
      </c>
      <c r="D73">
        <v>3241800</v>
      </c>
      <c r="E73">
        <f t="shared" si="4"/>
        <v>0.2620970675980499</v>
      </c>
      <c r="F73">
        <f t="shared" si="5"/>
        <v>0.73790293240195015</v>
      </c>
      <c r="I73">
        <v>423900</v>
      </c>
      <c r="J73">
        <f t="shared" si="6"/>
        <v>3665700</v>
      </c>
      <c r="K73">
        <f t="shared" si="7"/>
        <v>0.70363093938732446</v>
      </c>
    </row>
    <row r="74" spans="1:11">
      <c r="A74">
        <v>400</v>
      </c>
      <c r="B74">
        <v>7535700</v>
      </c>
      <c r="C74">
        <v>6728400</v>
      </c>
      <c r="D74">
        <v>2127600</v>
      </c>
      <c r="E74">
        <f t="shared" si="4"/>
        <v>0.14915767556312701</v>
      </c>
      <c r="F74">
        <f t="shared" si="5"/>
        <v>0.85084232443687302</v>
      </c>
      <c r="I74">
        <v>980100</v>
      </c>
      <c r="J74">
        <f t="shared" si="6"/>
        <v>3107700</v>
      </c>
      <c r="K74">
        <f t="shared" si="7"/>
        <v>0.7821313647548741</v>
      </c>
    </row>
    <row r="75" spans="1:11">
      <c r="A75">
        <v>405</v>
      </c>
      <c r="B75">
        <v>27591300</v>
      </c>
      <c r="C75">
        <v>26273700</v>
      </c>
      <c r="D75">
        <v>20616300</v>
      </c>
      <c r="E75">
        <f t="shared" si="4"/>
        <v>0.38274018379281538</v>
      </c>
      <c r="F75">
        <f t="shared" si="5"/>
        <v>0.61725981620718462</v>
      </c>
      <c r="I75">
        <v>64800</v>
      </c>
      <c r="J75">
        <f t="shared" si="6"/>
        <v>20681100</v>
      </c>
      <c r="K75">
        <f t="shared" si="7"/>
        <v>0.61605680868838764</v>
      </c>
    </row>
    <row r="76" spans="1:11">
      <c r="A76">
        <v>412</v>
      </c>
      <c r="B76">
        <v>4990500</v>
      </c>
      <c r="C76">
        <v>4212900</v>
      </c>
      <c r="D76">
        <v>2916900</v>
      </c>
      <c r="E76">
        <f t="shared" si="4"/>
        <v>0.3169372188539018</v>
      </c>
      <c r="F76">
        <f t="shared" si="5"/>
        <v>0.6830627811460982</v>
      </c>
      <c r="I76">
        <v>1088100</v>
      </c>
      <c r="J76">
        <f t="shared" si="6"/>
        <v>4005000</v>
      </c>
      <c r="K76">
        <f t="shared" si="7"/>
        <v>0.56483473498924308</v>
      </c>
    </row>
    <row r="77" spans="1:11">
      <c r="A77">
        <v>414</v>
      </c>
      <c r="B77">
        <v>6129000</v>
      </c>
      <c r="C77">
        <v>4952700</v>
      </c>
      <c r="D77">
        <v>1158300</v>
      </c>
      <c r="E77">
        <f t="shared" si="4"/>
        <v>0.10452367416551613</v>
      </c>
      <c r="F77">
        <f t="shared" si="5"/>
        <v>0.89547632583448389</v>
      </c>
      <c r="I77">
        <v>793800</v>
      </c>
      <c r="J77">
        <f t="shared" si="6"/>
        <v>1952100</v>
      </c>
      <c r="K77">
        <f t="shared" si="7"/>
        <v>0.82384471696580852</v>
      </c>
    </row>
    <row r="78" spans="1:11">
      <c r="A78">
        <v>418</v>
      </c>
      <c r="B78">
        <v>513000</v>
      </c>
      <c r="C78">
        <v>493200</v>
      </c>
      <c r="D78">
        <v>112500</v>
      </c>
      <c r="E78">
        <f t="shared" si="4"/>
        <v>0.11180679785330948</v>
      </c>
      <c r="F78">
        <f t="shared" si="5"/>
        <v>0.88819320214669051</v>
      </c>
      <c r="I78">
        <v>31500</v>
      </c>
      <c r="J78">
        <f t="shared" si="6"/>
        <v>144000</v>
      </c>
      <c r="K78">
        <f t="shared" si="7"/>
        <v>0.85688729874776381</v>
      </c>
    </row>
    <row r="79" spans="1:11">
      <c r="A79">
        <v>423</v>
      </c>
      <c r="B79">
        <v>916200</v>
      </c>
      <c r="C79">
        <v>871200</v>
      </c>
      <c r="D79">
        <v>335700</v>
      </c>
      <c r="E79">
        <f t="shared" si="4"/>
        <v>0.18781470292044311</v>
      </c>
      <c r="F79">
        <f t="shared" si="5"/>
        <v>0.81218529707955689</v>
      </c>
      <c r="I79">
        <v>87300</v>
      </c>
      <c r="J79">
        <f t="shared" si="6"/>
        <v>423000</v>
      </c>
      <c r="K79">
        <f t="shared" si="7"/>
        <v>0.76334340382678745</v>
      </c>
    </row>
    <row r="80" spans="1:11">
      <c r="A80">
        <v>426</v>
      </c>
      <c r="B80">
        <v>262800</v>
      </c>
      <c r="C80">
        <v>262800</v>
      </c>
      <c r="D80">
        <v>34200</v>
      </c>
      <c r="E80">
        <f t="shared" si="4"/>
        <v>6.5068493150684928E-2</v>
      </c>
      <c r="F80">
        <f t="shared" si="5"/>
        <v>0.93493150684931503</v>
      </c>
      <c r="I80">
        <v>65700</v>
      </c>
      <c r="J80">
        <f t="shared" si="6"/>
        <v>99900</v>
      </c>
      <c r="K80">
        <f t="shared" si="7"/>
        <v>0.80993150684931503</v>
      </c>
    </row>
    <row r="81" spans="1:11">
      <c r="A81">
        <v>427</v>
      </c>
      <c r="B81">
        <v>573300</v>
      </c>
      <c r="C81">
        <v>970200</v>
      </c>
      <c r="D81">
        <v>441900</v>
      </c>
      <c r="E81">
        <f t="shared" si="4"/>
        <v>0.28629737609329448</v>
      </c>
      <c r="F81">
        <f t="shared" si="5"/>
        <v>0.71370262390670547</v>
      </c>
      <c r="I81">
        <v>900</v>
      </c>
      <c r="J81">
        <f t="shared" si="6"/>
        <v>442800</v>
      </c>
      <c r="K81">
        <f t="shared" si="7"/>
        <v>0.71311953352769675</v>
      </c>
    </row>
    <row r="82" spans="1:11">
      <c r="A82">
        <v>428</v>
      </c>
      <c r="B82">
        <v>251100</v>
      </c>
      <c r="C82">
        <v>264600</v>
      </c>
      <c r="D82">
        <v>174600</v>
      </c>
      <c r="E82">
        <f t="shared" si="4"/>
        <v>0.33856893542757416</v>
      </c>
      <c r="F82">
        <f t="shared" si="5"/>
        <v>0.66143106457242584</v>
      </c>
      <c r="I82">
        <v>36000</v>
      </c>
      <c r="J82">
        <f t="shared" si="6"/>
        <v>210600</v>
      </c>
      <c r="K82">
        <f t="shared" si="7"/>
        <v>0.59162303664921467</v>
      </c>
    </row>
    <row r="83" spans="1:11">
      <c r="A83">
        <v>429</v>
      </c>
      <c r="B83">
        <v>867600</v>
      </c>
      <c r="C83">
        <v>935100</v>
      </c>
      <c r="D83">
        <v>627300</v>
      </c>
      <c r="E83">
        <f t="shared" si="4"/>
        <v>0.34797803295057411</v>
      </c>
      <c r="F83">
        <f t="shared" si="5"/>
        <v>0.65202196704942583</v>
      </c>
      <c r="I83">
        <v>153000</v>
      </c>
      <c r="J83">
        <f t="shared" si="6"/>
        <v>780300</v>
      </c>
      <c r="K83">
        <f t="shared" si="7"/>
        <v>0.56714927608587118</v>
      </c>
    </row>
    <row r="84" spans="1:11">
      <c r="A84">
        <v>430</v>
      </c>
      <c r="B84">
        <v>682200</v>
      </c>
      <c r="C84">
        <v>641700</v>
      </c>
      <c r="D84">
        <v>153900</v>
      </c>
      <c r="E84">
        <f t="shared" si="4"/>
        <v>0.11624745071380013</v>
      </c>
      <c r="F84">
        <f t="shared" si="5"/>
        <v>0.88375254928619984</v>
      </c>
      <c r="I84">
        <v>158400</v>
      </c>
      <c r="J84">
        <f t="shared" si="6"/>
        <v>312300</v>
      </c>
      <c r="K84">
        <f t="shared" si="7"/>
        <v>0.76410605030591428</v>
      </c>
    </row>
    <row r="85" spans="1:11">
      <c r="A85">
        <v>435</v>
      </c>
      <c r="B85">
        <v>2573100</v>
      </c>
      <c r="C85">
        <v>2192400</v>
      </c>
      <c r="D85">
        <v>1738800</v>
      </c>
      <c r="E85">
        <f t="shared" si="4"/>
        <v>0.36487252124645891</v>
      </c>
      <c r="F85">
        <f t="shared" si="5"/>
        <v>0.63512747875354103</v>
      </c>
      <c r="I85">
        <v>77400</v>
      </c>
      <c r="J85">
        <f t="shared" si="6"/>
        <v>1816200</v>
      </c>
      <c r="K85">
        <f t="shared" si="7"/>
        <v>0.61888574126534468</v>
      </c>
    </row>
    <row r="86" spans="1:11">
      <c r="A86">
        <v>436</v>
      </c>
      <c r="B86">
        <v>351900</v>
      </c>
      <c r="C86">
        <v>322200</v>
      </c>
      <c r="D86">
        <v>0</v>
      </c>
      <c r="E86">
        <f t="shared" si="4"/>
        <v>0</v>
      </c>
      <c r="F86">
        <f t="shared" si="5"/>
        <v>1</v>
      </c>
      <c r="I86">
        <v>84600</v>
      </c>
      <c r="J86">
        <f t="shared" si="6"/>
        <v>84600</v>
      </c>
      <c r="K86">
        <f t="shared" si="7"/>
        <v>0.87449933244325773</v>
      </c>
    </row>
    <row r="87" spans="1:11">
      <c r="A87">
        <v>437</v>
      </c>
      <c r="B87">
        <v>2799000</v>
      </c>
      <c r="C87">
        <v>3003300</v>
      </c>
      <c r="D87">
        <v>563400</v>
      </c>
      <c r="E87">
        <f t="shared" si="4"/>
        <v>9.7099426089654106E-2</v>
      </c>
      <c r="F87">
        <f t="shared" si="5"/>
        <v>0.90290057391034595</v>
      </c>
      <c r="I87">
        <v>45000</v>
      </c>
      <c r="J87">
        <f t="shared" si="6"/>
        <v>608400</v>
      </c>
      <c r="K87">
        <f t="shared" si="7"/>
        <v>0.89514502869551726</v>
      </c>
    </row>
    <row r="88" spans="1:11">
      <c r="A88">
        <v>438</v>
      </c>
      <c r="B88">
        <v>1722600</v>
      </c>
      <c r="C88">
        <v>2087100</v>
      </c>
      <c r="D88">
        <v>478800</v>
      </c>
      <c r="E88">
        <f t="shared" si="4"/>
        <v>0.12567918733758562</v>
      </c>
      <c r="F88">
        <f t="shared" si="5"/>
        <v>0.87432081266241435</v>
      </c>
      <c r="I88">
        <v>34200</v>
      </c>
      <c r="J88">
        <f t="shared" si="6"/>
        <v>513000</v>
      </c>
      <c r="K88">
        <f t="shared" si="7"/>
        <v>0.86534372785258684</v>
      </c>
    </row>
    <row r="89" spans="1:11">
      <c r="A89">
        <v>439</v>
      </c>
      <c r="B89">
        <v>921600</v>
      </c>
      <c r="C89">
        <v>808200</v>
      </c>
      <c r="D89">
        <v>0</v>
      </c>
      <c r="E89">
        <f t="shared" si="4"/>
        <v>0</v>
      </c>
      <c r="F89">
        <f t="shared" si="5"/>
        <v>1</v>
      </c>
      <c r="I89">
        <v>0</v>
      </c>
      <c r="J89">
        <f t="shared" si="6"/>
        <v>0</v>
      </c>
      <c r="K89">
        <f t="shared" si="7"/>
        <v>1</v>
      </c>
    </row>
    <row r="90" spans="1:11">
      <c r="A90">
        <v>440</v>
      </c>
      <c r="B90">
        <v>1487700</v>
      </c>
      <c r="C90">
        <v>1565100</v>
      </c>
      <c r="D90">
        <v>345600</v>
      </c>
      <c r="E90">
        <f t="shared" si="4"/>
        <v>0.11320754716981132</v>
      </c>
      <c r="F90">
        <f t="shared" si="5"/>
        <v>0.8867924528301887</v>
      </c>
      <c r="I90">
        <v>194400</v>
      </c>
      <c r="J90">
        <f t="shared" si="6"/>
        <v>540000</v>
      </c>
      <c r="K90">
        <f t="shared" si="7"/>
        <v>0.82311320754716988</v>
      </c>
    </row>
    <row r="91" spans="1:11">
      <c r="A91">
        <v>441</v>
      </c>
      <c r="B91">
        <v>887400</v>
      </c>
      <c r="C91">
        <v>1015200</v>
      </c>
      <c r="D91">
        <v>495000</v>
      </c>
      <c r="E91">
        <f t="shared" si="4"/>
        <v>0.26017029328287605</v>
      </c>
      <c r="F91">
        <f t="shared" si="5"/>
        <v>0.739829706717124</v>
      </c>
      <c r="I91">
        <v>169200</v>
      </c>
      <c r="J91">
        <f t="shared" si="6"/>
        <v>664200</v>
      </c>
      <c r="K91">
        <f t="shared" si="7"/>
        <v>0.65089877010406805</v>
      </c>
    </row>
    <row r="92" spans="1:11">
      <c r="A92">
        <v>443</v>
      </c>
      <c r="B92">
        <v>821700</v>
      </c>
      <c r="C92">
        <v>823500</v>
      </c>
      <c r="D92">
        <v>40500</v>
      </c>
      <c r="E92">
        <f t="shared" si="4"/>
        <v>2.461706783369803E-2</v>
      </c>
      <c r="F92">
        <f t="shared" si="5"/>
        <v>0.97538293216630201</v>
      </c>
      <c r="I92">
        <v>251100</v>
      </c>
      <c r="J92">
        <f t="shared" si="6"/>
        <v>291600</v>
      </c>
      <c r="K92">
        <f t="shared" si="7"/>
        <v>0.82275711159737419</v>
      </c>
    </row>
    <row r="93" spans="1:11">
      <c r="A93">
        <v>444</v>
      </c>
      <c r="B93">
        <v>1673100</v>
      </c>
      <c r="C93">
        <v>1439100</v>
      </c>
      <c r="D93">
        <v>336600</v>
      </c>
      <c r="E93">
        <f t="shared" si="4"/>
        <v>0.108155002891845</v>
      </c>
      <c r="F93">
        <f t="shared" si="5"/>
        <v>0.89184499710815501</v>
      </c>
      <c r="I93">
        <v>84600</v>
      </c>
      <c r="J93">
        <f t="shared" si="6"/>
        <v>421200</v>
      </c>
      <c r="K93">
        <f t="shared" si="7"/>
        <v>0.86466165413533835</v>
      </c>
    </row>
    <row r="94" spans="1:11">
      <c r="A94">
        <v>445</v>
      </c>
      <c r="B94">
        <v>561600</v>
      </c>
      <c r="C94">
        <v>575100</v>
      </c>
      <c r="D94">
        <v>200700</v>
      </c>
      <c r="E94">
        <f t="shared" si="4"/>
        <v>0.17656373713380838</v>
      </c>
      <c r="F94">
        <f t="shared" si="5"/>
        <v>0.82343626286619165</v>
      </c>
      <c r="I94">
        <v>21600</v>
      </c>
      <c r="J94">
        <f t="shared" si="6"/>
        <v>222300</v>
      </c>
      <c r="K94">
        <f t="shared" si="7"/>
        <v>0.80443388756927947</v>
      </c>
    </row>
    <row r="95" spans="1:11">
      <c r="A95">
        <v>446</v>
      </c>
      <c r="B95">
        <v>671400</v>
      </c>
      <c r="C95">
        <v>612000</v>
      </c>
      <c r="D95">
        <v>90900</v>
      </c>
      <c r="E95">
        <f t="shared" si="4"/>
        <v>7.0827489481065917E-2</v>
      </c>
      <c r="F95">
        <f t="shared" si="5"/>
        <v>0.92917251051893412</v>
      </c>
      <c r="I95">
        <v>1800</v>
      </c>
      <c r="J95">
        <f t="shared" si="6"/>
        <v>92700</v>
      </c>
      <c r="K95">
        <f t="shared" si="7"/>
        <v>0.92776998597475457</v>
      </c>
    </row>
    <row r="96" spans="1:11">
      <c r="A96">
        <v>447</v>
      </c>
      <c r="B96">
        <v>388800</v>
      </c>
      <c r="C96">
        <v>394200</v>
      </c>
      <c r="D96">
        <v>80100</v>
      </c>
      <c r="E96">
        <f t="shared" si="4"/>
        <v>0.10229885057471265</v>
      </c>
      <c r="F96">
        <f t="shared" si="5"/>
        <v>0.89770114942528734</v>
      </c>
      <c r="I96">
        <v>165600</v>
      </c>
      <c r="J96">
        <f t="shared" si="6"/>
        <v>245700</v>
      </c>
      <c r="K96">
        <f t="shared" si="7"/>
        <v>0.68620689655172407</v>
      </c>
    </row>
    <row r="97" spans="1:11">
      <c r="A97">
        <v>448</v>
      </c>
      <c r="B97">
        <v>620100</v>
      </c>
      <c r="C97">
        <v>564300</v>
      </c>
      <c r="D97">
        <v>82800</v>
      </c>
      <c r="E97">
        <f t="shared" si="4"/>
        <v>6.9908814589665649E-2</v>
      </c>
      <c r="F97">
        <f t="shared" si="5"/>
        <v>0.93009118541033431</v>
      </c>
      <c r="I97">
        <v>900</v>
      </c>
      <c r="J97">
        <f t="shared" si="6"/>
        <v>83700</v>
      </c>
      <c r="K97">
        <f t="shared" si="7"/>
        <v>0.92933130699088151</v>
      </c>
    </row>
    <row r="98" spans="1:11">
      <c r="A98">
        <v>451</v>
      </c>
      <c r="B98">
        <v>553500</v>
      </c>
      <c r="C98">
        <v>512100</v>
      </c>
      <c r="D98">
        <v>221400</v>
      </c>
      <c r="E98">
        <f t="shared" si="4"/>
        <v>0.20777027027027026</v>
      </c>
      <c r="F98">
        <f t="shared" si="5"/>
        <v>0.79222972972972971</v>
      </c>
      <c r="I98">
        <v>55800</v>
      </c>
      <c r="J98">
        <f t="shared" si="6"/>
        <v>277200</v>
      </c>
      <c r="K98">
        <f t="shared" si="7"/>
        <v>0.73986486486486491</v>
      </c>
    </row>
    <row r="99" spans="1:11">
      <c r="A99">
        <v>457</v>
      </c>
      <c r="B99">
        <v>429300</v>
      </c>
      <c r="C99">
        <v>335700</v>
      </c>
      <c r="D99">
        <v>0</v>
      </c>
      <c r="E99">
        <f t="shared" si="4"/>
        <v>0</v>
      </c>
      <c r="F99">
        <f t="shared" si="5"/>
        <v>1</v>
      </c>
      <c r="I99">
        <v>50400</v>
      </c>
      <c r="J99">
        <f t="shared" si="6"/>
        <v>50400</v>
      </c>
      <c r="K99">
        <f t="shared" si="7"/>
        <v>0.9341176470588235</v>
      </c>
    </row>
    <row r="100" spans="1:11">
      <c r="A100">
        <v>465</v>
      </c>
      <c r="B100">
        <v>1124100</v>
      </c>
      <c r="C100">
        <v>994500</v>
      </c>
      <c r="D100">
        <v>270000</v>
      </c>
      <c r="E100">
        <f t="shared" si="4"/>
        <v>0.12744265080713679</v>
      </c>
      <c r="F100">
        <f t="shared" si="5"/>
        <v>0.87255734919286321</v>
      </c>
      <c r="I100">
        <v>0</v>
      </c>
      <c r="J100">
        <f t="shared" si="6"/>
        <v>270000</v>
      </c>
      <c r="K100">
        <f t="shared" si="7"/>
        <v>0.87255734919286321</v>
      </c>
    </row>
    <row r="101" spans="1:11">
      <c r="A101">
        <v>468</v>
      </c>
      <c r="B101">
        <v>923400</v>
      </c>
      <c r="C101">
        <v>744300</v>
      </c>
      <c r="D101">
        <v>135000</v>
      </c>
      <c r="E101">
        <f t="shared" si="4"/>
        <v>8.094981111710739E-2</v>
      </c>
      <c r="F101">
        <f t="shared" si="5"/>
        <v>0.91905018888289258</v>
      </c>
      <c r="I101">
        <v>131400</v>
      </c>
      <c r="J101">
        <f t="shared" si="6"/>
        <v>266400</v>
      </c>
      <c r="K101">
        <f t="shared" si="7"/>
        <v>0.84025903939557478</v>
      </c>
    </row>
    <row r="102" spans="1:11">
      <c r="A102">
        <v>470</v>
      </c>
      <c r="B102">
        <v>1322100</v>
      </c>
      <c r="C102">
        <v>1313100</v>
      </c>
      <c r="D102">
        <v>780300</v>
      </c>
      <c r="E102">
        <f t="shared" si="4"/>
        <v>0.29610655737704916</v>
      </c>
      <c r="F102">
        <f t="shared" si="5"/>
        <v>0.70389344262295084</v>
      </c>
      <c r="I102">
        <v>67500</v>
      </c>
      <c r="J102">
        <f t="shared" si="6"/>
        <v>847800</v>
      </c>
      <c r="K102">
        <f t="shared" si="7"/>
        <v>0.67827868852459017</v>
      </c>
    </row>
    <row r="103" spans="1:11">
      <c r="A103">
        <v>471</v>
      </c>
      <c r="B103">
        <v>791100</v>
      </c>
      <c r="C103">
        <v>597600</v>
      </c>
      <c r="D103">
        <v>449100</v>
      </c>
      <c r="E103">
        <f t="shared" si="4"/>
        <v>0.32339598185353208</v>
      </c>
      <c r="F103">
        <f t="shared" si="5"/>
        <v>0.67660401814646787</v>
      </c>
      <c r="I103">
        <v>370800</v>
      </c>
      <c r="J103">
        <f t="shared" si="6"/>
        <v>819900</v>
      </c>
      <c r="K103">
        <f t="shared" si="7"/>
        <v>0.40959170447180815</v>
      </c>
    </row>
    <row r="104" spans="1:11">
      <c r="A104">
        <v>478</v>
      </c>
      <c r="B104">
        <v>1234800</v>
      </c>
      <c r="C104">
        <v>954900</v>
      </c>
      <c r="D104">
        <v>575100</v>
      </c>
      <c r="E104">
        <f t="shared" si="4"/>
        <v>0.26263871763255242</v>
      </c>
      <c r="F104">
        <f t="shared" si="5"/>
        <v>0.73736128236744758</v>
      </c>
      <c r="I104">
        <v>102600</v>
      </c>
      <c r="J104">
        <f t="shared" si="6"/>
        <v>677700</v>
      </c>
      <c r="K104">
        <f t="shared" si="7"/>
        <v>0.69050554870530212</v>
      </c>
    </row>
    <row r="105" spans="1:11">
      <c r="A105">
        <v>479</v>
      </c>
      <c r="B105">
        <v>1694700</v>
      </c>
      <c r="C105">
        <v>1413000</v>
      </c>
      <c r="D105">
        <v>222300</v>
      </c>
      <c r="E105">
        <f t="shared" si="4"/>
        <v>7.1532001158412975E-2</v>
      </c>
      <c r="F105">
        <f t="shared" si="5"/>
        <v>0.92846799884158704</v>
      </c>
      <c r="I105">
        <v>162000</v>
      </c>
      <c r="J105">
        <f t="shared" si="6"/>
        <v>384300</v>
      </c>
      <c r="K105">
        <f t="shared" si="7"/>
        <v>0.87633941500144807</v>
      </c>
    </row>
    <row r="106" spans="1:11">
      <c r="A106">
        <v>480</v>
      </c>
      <c r="B106">
        <v>1863900</v>
      </c>
      <c r="C106">
        <v>1456200</v>
      </c>
      <c r="D106">
        <v>374400</v>
      </c>
      <c r="E106">
        <f t="shared" si="4"/>
        <v>0.11276768772024939</v>
      </c>
      <c r="F106">
        <f t="shared" si="5"/>
        <v>0.88723231227975063</v>
      </c>
      <c r="I106">
        <v>109800</v>
      </c>
      <c r="J106">
        <f t="shared" si="6"/>
        <v>484200</v>
      </c>
      <c r="K106">
        <f t="shared" si="7"/>
        <v>0.85416101924640819</v>
      </c>
    </row>
    <row r="107" spans="1:11">
      <c r="A107">
        <v>483</v>
      </c>
      <c r="B107">
        <v>1576800</v>
      </c>
      <c r="C107">
        <v>1504800</v>
      </c>
      <c r="D107">
        <v>807300</v>
      </c>
      <c r="E107">
        <f t="shared" si="4"/>
        <v>0.26197429906542058</v>
      </c>
      <c r="F107">
        <f t="shared" si="5"/>
        <v>0.73802570093457942</v>
      </c>
      <c r="I107">
        <v>22500</v>
      </c>
      <c r="J107">
        <f t="shared" si="6"/>
        <v>829800</v>
      </c>
      <c r="K107">
        <f t="shared" si="7"/>
        <v>0.73072429906542058</v>
      </c>
    </row>
    <row r="108" spans="1:11">
      <c r="A108">
        <v>485</v>
      </c>
      <c r="B108">
        <v>792000</v>
      </c>
      <c r="C108">
        <v>617400</v>
      </c>
      <c r="D108">
        <v>266400</v>
      </c>
      <c r="E108">
        <f t="shared" si="4"/>
        <v>0.18901660280970625</v>
      </c>
      <c r="F108">
        <f t="shared" si="5"/>
        <v>0.81098339719029378</v>
      </c>
      <c r="I108">
        <v>176400</v>
      </c>
      <c r="J108">
        <f t="shared" si="6"/>
        <v>442800</v>
      </c>
      <c r="K108">
        <f t="shared" si="7"/>
        <v>0.68582375478927204</v>
      </c>
    </row>
    <row r="109" spans="1:11">
      <c r="A109">
        <v>487</v>
      </c>
      <c r="B109">
        <v>1365300</v>
      </c>
      <c r="C109">
        <v>1242900</v>
      </c>
      <c r="D109">
        <v>674100</v>
      </c>
      <c r="E109">
        <f t="shared" si="4"/>
        <v>0.25845410628019322</v>
      </c>
      <c r="F109">
        <f t="shared" si="5"/>
        <v>0.74154589371980673</v>
      </c>
      <c r="I109">
        <v>711000</v>
      </c>
      <c r="J109">
        <f t="shared" si="6"/>
        <v>1385100</v>
      </c>
      <c r="K109">
        <f t="shared" si="7"/>
        <v>0.46894409937888204</v>
      </c>
    </row>
    <row r="110" spans="1:11">
      <c r="A110">
        <v>490</v>
      </c>
      <c r="B110">
        <v>2208600</v>
      </c>
      <c r="C110">
        <v>1881000</v>
      </c>
      <c r="D110">
        <v>682200</v>
      </c>
      <c r="E110">
        <f t="shared" si="4"/>
        <v>0.16681338028169015</v>
      </c>
      <c r="F110">
        <f t="shared" si="5"/>
        <v>0.83318661971830987</v>
      </c>
      <c r="I110">
        <v>242100</v>
      </c>
      <c r="J110">
        <f t="shared" si="6"/>
        <v>924300</v>
      </c>
      <c r="K110">
        <f t="shared" si="7"/>
        <v>0.773987676056338</v>
      </c>
    </row>
    <row r="111" spans="1:11">
      <c r="A111">
        <v>491</v>
      </c>
      <c r="B111">
        <v>2347200</v>
      </c>
      <c r="C111">
        <v>2331000</v>
      </c>
      <c r="D111">
        <v>536400</v>
      </c>
      <c r="E111">
        <f t="shared" si="4"/>
        <v>0.1146594844170835</v>
      </c>
      <c r="F111">
        <f t="shared" si="5"/>
        <v>0.88534051558291649</v>
      </c>
      <c r="I111">
        <v>251100</v>
      </c>
      <c r="J111">
        <f t="shared" si="6"/>
        <v>787500</v>
      </c>
      <c r="K111">
        <f t="shared" si="7"/>
        <v>0.83166602539438239</v>
      </c>
    </row>
    <row r="112" spans="1:11">
      <c r="A112">
        <v>493</v>
      </c>
      <c r="B112">
        <v>372600</v>
      </c>
      <c r="C112">
        <v>357300</v>
      </c>
      <c r="D112">
        <v>249300</v>
      </c>
      <c r="E112">
        <f t="shared" si="4"/>
        <v>0.34155363748458695</v>
      </c>
      <c r="F112">
        <f t="shared" si="5"/>
        <v>0.65844636251541311</v>
      </c>
      <c r="I112">
        <v>169200</v>
      </c>
      <c r="J112">
        <f t="shared" si="6"/>
        <v>418500</v>
      </c>
      <c r="K112">
        <f t="shared" si="7"/>
        <v>0.4266337854500617</v>
      </c>
    </row>
    <row r="113" spans="1:11">
      <c r="A113">
        <v>494</v>
      </c>
      <c r="B113">
        <v>848700</v>
      </c>
      <c r="C113">
        <v>996300</v>
      </c>
      <c r="D113">
        <v>235800</v>
      </c>
      <c r="E113">
        <f t="shared" si="4"/>
        <v>0.12780487804878049</v>
      </c>
      <c r="F113">
        <f t="shared" si="5"/>
        <v>0.87219512195121951</v>
      </c>
      <c r="I113">
        <v>174600</v>
      </c>
      <c r="J113">
        <f t="shared" si="6"/>
        <v>410400</v>
      </c>
      <c r="K113">
        <f t="shared" si="7"/>
        <v>0.77756097560975612</v>
      </c>
    </row>
    <row r="114" spans="1:11">
      <c r="A114">
        <v>495</v>
      </c>
      <c r="B114">
        <v>1368900</v>
      </c>
      <c r="C114">
        <v>1387800</v>
      </c>
      <c r="D114">
        <v>222300</v>
      </c>
      <c r="E114">
        <f t="shared" si="4"/>
        <v>8.0639895527260849E-2</v>
      </c>
      <c r="F114">
        <f t="shared" si="5"/>
        <v>0.91936010447273919</v>
      </c>
      <c r="I114">
        <v>221400</v>
      </c>
      <c r="J114">
        <f t="shared" si="6"/>
        <v>443700</v>
      </c>
      <c r="K114">
        <f t="shared" si="7"/>
        <v>0.83904668625530521</v>
      </c>
    </row>
    <row r="115" spans="1:11">
      <c r="A115">
        <v>497</v>
      </c>
      <c r="B115">
        <v>459000</v>
      </c>
      <c r="C115">
        <v>438300</v>
      </c>
      <c r="D115">
        <v>112500</v>
      </c>
      <c r="E115">
        <f t="shared" si="4"/>
        <v>0.12537612838515547</v>
      </c>
      <c r="F115">
        <f t="shared" si="5"/>
        <v>0.87462387161484456</v>
      </c>
      <c r="I115">
        <v>34200</v>
      </c>
      <c r="J115">
        <f t="shared" si="6"/>
        <v>146700</v>
      </c>
      <c r="K115">
        <f t="shared" si="7"/>
        <v>0.83650952858575733</v>
      </c>
    </row>
    <row r="116" spans="1:11">
      <c r="A116">
        <v>498</v>
      </c>
      <c r="B116">
        <v>249300</v>
      </c>
      <c r="C116">
        <v>245700</v>
      </c>
      <c r="D116">
        <v>176400</v>
      </c>
      <c r="E116">
        <f t="shared" si="4"/>
        <v>0.35636363636363638</v>
      </c>
      <c r="F116">
        <f t="shared" si="5"/>
        <v>0.64363636363636356</v>
      </c>
      <c r="I116">
        <v>56700</v>
      </c>
      <c r="J116">
        <f t="shared" si="6"/>
        <v>233100</v>
      </c>
      <c r="K116">
        <f t="shared" si="7"/>
        <v>0.52909090909090906</v>
      </c>
    </row>
    <row r="117" spans="1:11">
      <c r="A117">
        <v>500</v>
      </c>
      <c r="B117">
        <v>879300</v>
      </c>
      <c r="C117">
        <v>729900</v>
      </c>
      <c r="D117">
        <v>486000</v>
      </c>
      <c r="E117">
        <f t="shared" si="4"/>
        <v>0.30201342281879195</v>
      </c>
      <c r="F117">
        <f t="shared" si="5"/>
        <v>0.69798657718120805</v>
      </c>
      <c r="I117">
        <v>99900</v>
      </c>
      <c r="J117">
        <f t="shared" si="6"/>
        <v>585900</v>
      </c>
      <c r="K117">
        <f t="shared" si="7"/>
        <v>0.63590604026845643</v>
      </c>
    </row>
    <row r="118" spans="1:11">
      <c r="A118">
        <v>504</v>
      </c>
      <c r="B118">
        <v>423000</v>
      </c>
      <c r="C118">
        <v>271800</v>
      </c>
      <c r="D118">
        <v>84600</v>
      </c>
      <c r="E118">
        <f t="shared" si="4"/>
        <v>0.12176165803108809</v>
      </c>
      <c r="F118">
        <f t="shared" si="5"/>
        <v>0.87823834196891193</v>
      </c>
      <c r="I118">
        <v>98100</v>
      </c>
      <c r="J118">
        <f t="shared" si="6"/>
        <v>182700</v>
      </c>
      <c r="K118">
        <f t="shared" si="7"/>
        <v>0.73704663212435229</v>
      </c>
    </row>
    <row r="119" spans="1:11">
      <c r="A119">
        <v>509</v>
      </c>
      <c r="B119">
        <v>975600</v>
      </c>
      <c r="C119">
        <v>974700</v>
      </c>
      <c r="D119">
        <v>370800</v>
      </c>
      <c r="E119">
        <f t="shared" si="4"/>
        <v>0.19012459621596678</v>
      </c>
      <c r="F119">
        <f t="shared" si="5"/>
        <v>0.80987540378403322</v>
      </c>
      <c r="I119">
        <v>7200</v>
      </c>
      <c r="J119">
        <f t="shared" si="6"/>
        <v>378000</v>
      </c>
      <c r="K119">
        <f t="shared" si="7"/>
        <v>0.8061836640516844</v>
      </c>
    </row>
    <row r="120" spans="1:11">
      <c r="A120">
        <v>512</v>
      </c>
      <c r="B120">
        <v>315900</v>
      </c>
      <c r="C120">
        <v>250200</v>
      </c>
      <c r="D120">
        <v>310500</v>
      </c>
      <c r="E120">
        <f t="shared" si="4"/>
        <v>0.54848966613672501</v>
      </c>
      <c r="F120">
        <f t="shared" si="5"/>
        <v>0.45151033386327499</v>
      </c>
      <c r="I120">
        <v>31500</v>
      </c>
      <c r="J120">
        <f t="shared" si="6"/>
        <v>342000</v>
      </c>
      <c r="K120">
        <f t="shared" si="7"/>
        <v>0.39586645468998405</v>
      </c>
    </row>
    <row r="121" spans="1:11">
      <c r="A121">
        <v>513</v>
      </c>
      <c r="B121">
        <v>2056500</v>
      </c>
      <c r="C121">
        <v>2155500</v>
      </c>
      <c r="D121">
        <v>1300500</v>
      </c>
      <c r="E121">
        <f t="shared" si="4"/>
        <v>0.30876068376068377</v>
      </c>
      <c r="F121">
        <f t="shared" si="5"/>
        <v>0.69123931623931623</v>
      </c>
      <c r="I121">
        <v>152100</v>
      </c>
      <c r="J121">
        <f t="shared" si="6"/>
        <v>1452600</v>
      </c>
      <c r="K121">
        <f t="shared" si="7"/>
        <v>0.65512820512820513</v>
      </c>
    </row>
    <row r="122" spans="1:11">
      <c r="A122">
        <v>533</v>
      </c>
      <c r="B122">
        <v>8394300</v>
      </c>
      <c r="C122">
        <v>7405200</v>
      </c>
      <c r="D122">
        <v>2688300</v>
      </c>
      <c r="E122">
        <f t="shared" si="4"/>
        <v>0.17015095414411849</v>
      </c>
      <c r="F122">
        <f t="shared" si="5"/>
        <v>0.82984904585588148</v>
      </c>
      <c r="I122">
        <v>884700</v>
      </c>
      <c r="J122">
        <f t="shared" si="6"/>
        <v>3573000</v>
      </c>
      <c r="K122">
        <f t="shared" si="7"/>
        <v>0.77385360296211902</v>
      </c>
    </row>
    <row r="123" spans="1:11">
      <c r="A123">
        <v>534</v>
      </c>
      <c r="B123">
        <v>0</v>
      </c>
      <c r="C123">
        <v>0</v>
      </c>
      <c r="E123" t="e">
        <f t="shared" si="4"/>
        <v>#DIV/0!</v>
      </c>
      <c r="F123" t="e">
        <f t="shared" si="5"/>
        <v>#DIV/0!</v>
      </c>
      <c r="J123">
        <f t="shared" si="6"/>
        <v>0</v>
      </c>
      <c r="K123" t="e">
        <f t="shared" si="7"/>
        <v>#DIV/0!</v>
      </c>
    </row>
    <row r="124" spans="1:11">
      <c r="A124">
        <v>535</v>
      </c>
      <c r="B124">
        <v>4923000</v>
      </c>
      <c r="C124">
        <v>3654900</v>
      </c>
      <c r="D124">
        <v>4673700</v>
      </c>
      <c r="E124">
        <f t="shared" si="4"/>
        <v>0.54485363550519361</v>
      </c>
      <c r="F124">
        <f t="shared" si="5"/>
        <v>0.45514636449480639</v>
      </c>
      <c r="I124">
        <v>228600</v>
      </c>
      <c r="J124">
        <f t="shared" si="6"/>
        <v>4902300</v>
      </c>
      <c r="K124">
        <f t="shared" si="7"/>
        <v>0.42849648515370897</v>
      </c>
    </row>
    <row r="125" spans="1:11">
      <c r="A125">
        <v>537</v>
      </c>
      <c r="B125">
        <v>405000</v>
      </c>
      <c r="C125">
        <v>311400</v>
      </c>
      <c r="D125">
        <v>162900</v>
      </c>
      <c r="E125">
        <f t="shared" si="4"/>
        <v>0.22738693467336685</v>
      </c>
      <c r="F125">
        <f t="shared" si="5"/>
        <v>0.77261306532663321</v>
      </c>
      <c r="I125">
        <v>71100</v>
      </c>
      <c r="J125">
        <f t="shared" si="6"/>
        <v>234000</v>
      </c>
      <c r="K125">
        <f t="shared" si="7"/>
        <v>0.6733668341708543</v>
      </c>
    </row>
    <row r="126" spans="1:11">
      <c r="A126">
        <v>539</v>
      </c>
      <c r="B126">
        <v>1001700</v>
      </c>
      <c r="C126">
        <v>1062000</v>
      </c>
      <c r="D126">
        <v>510300</v>
      </c>
      <c r="E126">
        <f t="shared" si="4"/>
        <v>0.24727431312690798</v>
      </c>
      <c r="F126">
        <f t="shared" si="5"/>
        <v>0.75272568687309205</v>
      </c>
      <c r="I126">
        <v>91800</v>
      </c>
      <c r="J126">
        <f t="shared" si="6"/>
        <v>602100</v>
      </c>
      <c r="K126">
        <f t="shared" si="7"/>
        <v>0.70824247710423027</v>
      </c>
    </row>
    <row r="127" spans="1:11">
      <c r="A127">
        <v>540</v>
      </c>
      <c r="B127">
        <v>464400</v>
      </c>
      <c r="C127">
        <v>321300</v>
      </c>
      <c r="D127">
        <v>43200</v>
      </c>
      <c r="E127">
        <f t="shared" si="4"/>
        <v>5.4982817869415807E-2</v>
      </c>
      <c r="F127">
        <f t="shared" si="5"/>
        <v>0.94501718213058417</v>
      </c>
      <c r="I127">
        <v>137700</v>
      </c>
      <c r="J127">
        <f t="shared" si="6"/>
        <v>180900</v>
      </c>
      <c r="K127">
        <f t="shared" si="7"/>
        <v>0.76975945017182135</v>
      </c>
    </row>
    <row r="128" spans="1:11">
      <c r="A128">
        <v>541</v>
      </c>
      <c r="B128">
        <v>507600</v>
      </c>
      <c r="C128">
        <v>462600</v>
      </c>
      <c r="D128">
        <v>167400</v>
      </c>
      <c r="E128">
        <f t="shared" si="4"/>
        <v>0.17254174397031541</v>
      </c>
      <c r="F128">
        <f t="shared" si="5"/>
        <v>0.82745825602968459</v>
      </c>
      <c r="I128">
        <v>120600</v>
      </c>
      <c r="J128">
        <f t="shared" si="6"/>
        <v>288000</v>
      </c>
      <c r="K128">
        <f t="shared" si="7"/>
        <v>0.70315398886827452</v>
      </c>
    </row>
    <row r="129" spans="1:11">
      <c r="A129">
        <v>542</v>
      </c>
      <c r="B129">
        <v>536400</v>
      </c>
      <c r="C129">
        <v>457200</v>
      </c>
      <c r="D129">
        <v>99900</v>
      </c>
      <c r="E129">
        <f t="shared" si="4"/>
        <v>0.10054347826086957</v>
      </c>
      <c r="F129">
        <f t="shared" si="5"/>
        <v>0.89945652173913038</v>
      </c>
      <c r="I129">
        <v>123300</v>
      </c>
      <c r="J129">
        <f t="shared" si="6"/>
        <v>223200</v>
      </c>
      <c r="K129">
        <f t="shared" si="7"/>
        <v>0.77536231884057971</v>
      </c>
    </row>
    <row r="130" spans="1:11">
      <c r="A130">
        <v>552</v>
      </c>
      <c r="B130">
        <v>263700</v>
      </c>
      <c r="C130">
        <v>218700</v>
      </c>
      <c r="D130">
        <v>210600</v>
      </c>
      <c r="E130">
        <f t="shared" si="4"/>
        <v>0.43656716417910446</v>
      </c>
      <c r="F130">
        <f t="shared" si="5"/>
        <v>0.56343283582089554</v>
      </c>
      <c r="I130">
        <v>11700</v>
      </c>
      <c r="J130">
        <f t="shared" si="6"/>
        <v>222300</v>
      </c>
      <c r="K130">
        <f t="shared" si="7"/>
        <v>0.53917910447761197</v>
      </c>
    </row>
    <row r="131" spans="1:11">
      <c r="A131">
        <v>554</v>
      </c>
      <c r="B131">
        <v>320400</v>
      </c>
      <c r="C131">
        <v>346500</v>
      </c>
      <c r="D131">
        <v>73800</v>
      </c>
      <c r="E131">
        <f t="shared" ref="E131:E194" si="8">D131/(C131+B131)</f>
        <v>0.1106612685560054</v>
      </c>
      <c r="F131">
        <f t="shared" ref="F131:F194" si="9">1-E131</f>
        <v>0.88933873144399456</v>
      </c>
      <c r="I131">
        <v>31500</v>
      </c>
      <c r="J131">
        <f t="shared" ref="J131:J194" si="10">I131+D131</f>
        <v>105300</v>
      </c>
      <c r="K131">
        <f t="shared" ref="K131:K194" si="11">1-J131/(B131+C131)</f>
        <v>0.84210526315789469</v>
      </c>
    </row>
    <row r="132" spans="1:11">
      <c r="A132">
        <v>555</v>
      </c>
      <c r="B132">
        <v>271800</v>
      </c>
      <c r="C132">
        <v>230400</v>
      </c>
      <c r="D132">
        <v>148500</v>
      </c>
      <c r="E132">
        <f t="shared" si="8"/>
        <v>0.29569892473118281</v>
      </c>
      <c r="F132">
        <f t="shared" si="9"/>
        <v>0.70430107526881724</v>
      </c>
      <c r="I132">
        <v>30600</v>
      </c>
      <c r="J132">
        <f t="shared" si="10"/>
        <v>179100</v>
      </c>
      <c r="K132">
        <f t="shared" si="11"/>
        <v>0.64336917562724016</v>
      </c>
    </row>
    <row r="133" spans="1:11">
      <c r="A133">
        <v>557</v>
      </c>
      <c r="B133">
        <v>177300</v>
      </c>
      <c r="C133">
        <v>113400</v>
      </c>
      <c r="D133">
        <v>157500</v>
      </c>
      <c r="E133">
        <f t="shared" si="8"/>
        <v>0.54179566563467496</v>
      </c>
      <c r="F133">
        <f t="shared" si="9"/>
        <v>0.45820433436532504</v>
      </c>
      <c r="I133">
        <v>58500</v>
      </c>
      <c r="J133">
        <f t="shared" si="10"/>
        <v>216000</v>
      </c>
      <c r="K133">
        <f t="shared" si="11"/>
        <v>0.25696594427244579</v>
      </c>
    </row>
    <row r="134" spans="1:11">
      <c r="A134">
        <v>558</v>
      </c>
      <c r="B134">
        <v>212400</v>
      </c>
      <c r="C134">
        <v>202500</v>
      </c>
      <c r="D134">
        <v>177300</v>
      </c>
      <c r="E134">
        <f t="shared" si="8"/>
        <v>0.42733188720173537</v>
      </c>
      <c r="F134">
        <f t="shared" si="9"/>
        <v>0.57266811279826468</v>
      </c>
      <c r="I134">
        <v>109800</v>
      </c>
      <c r="J134">
        <f t="shared" si="10"/>
        <v>287100</v>
      </c>
      <c r="K134">
        <f t="shared" si="11"/>
        <v>0.30802603036876353</v>
      </c>
    </row>
    <row r="135" spans="1:11">
      <c r="A135">
        <v>559</v>
      </c>
      <c r="B135">
        <v>1170000</v>
      </c>
      <c r="C135">
        <v>1057500</v>
      </c>
      <c r="D135">
        <v>2700</v>
      </c>
      <c r="E135">
        <f t="shared" si="8"/>
        <v>1.2121212121212121E-3</v>
      </c>
      <c r="F135">
        <f t="shared" si="9"/>
        <v>0.99878787878787878</v>
      </c>
      <c r="I135">
        <v>569700</v>
      </c>
      <c r="J135">
        <f t="shared" si="10"/>
        <v>572400</v>
      </c>
      <c r="K135">
        <f t="shared" si="11"/>
        <v>0.74303030303030304</v>
      </c>
    </row>
    <row r="136" spans="1:11">
      <c r="A136">
        <v>560</v>
      </c>
      <c r="B136">
        <v>3749400</v>
      </c>
      <c r="C136">
        <v>2066400</v>
      </c>
      <c r="D136">
        <v>1614600</v>
      </c>
      <c r="E136">
        <f t="shared" si="8"/>
        <v>0.27762302692664809</v>
      </c>
      <c r="F136">
        <f t="shared" si="9"/>
        <v>0.72237697307335191</v>
      </c>
      <c r="I136">
        <v>74700</v>
      </c>
      <c r="J136">
        <f t="shared" si="10"/>
        <v>1689300</v>
      </c>
      <c r="K136">
        <f t="shared" si="11"/>
        <v>0.70953265242958841</v>
      </c>
    </row>
    <row r="137" spans="1:11">
      <c r="A137">
        <v>561</v>
      </c>
      <c r="B137">
        <v>2348100</v>
      </c>
      <c r="C137">
        <v>1648800</v>
      </c>
      <c r="D137">
        <v>1703700</v>
      </c>
      <c r="E137">
        <f t="shared" si="8"/>
        <v>0.42625534789461833</v>
      </c>
      <c r="F137">
        <f t="shared" si="9"/>
        <v>0.57374465210538172</v>
      </c>
      <c r="I137">
        <v>959400</v>
      </c>
      <c r="J137">
        <f t="shared" si="10"/>
        <v>2663100</v>
      </c>
      <c r="K137">
        <f t="shared" si="11"/>
        <v>0.33370862418374236</v>
      </c>
    </row>
    <row r="138" spans="1:11">
      <c r="A138">
        <v>563</v>
      </c>
      <c r="B138">
        <v>387900</v>
      </c>
      <c r="C138">
        <v>210600</v>
      </c>
      <c r="D138">
        <v>363600</v>
      </c>
      <c r="E138">
        <f t="shared" si="8"/>
        <v>0.60751879699248124</v>
      </c>
      <c r="F138">
        <f t="shared" si="9"/>
        <v>0.39248120300751876</v>
      </c>
      <c r="I138">
        <v>54900</v>
      </c>
      <c r="J138">
        <f t="shared" si="10"/>
        <v>418500</v>
      </c>
      <c r="K138">
        <f t="shared" si="11"/>
        <v>0.3007518796992481</v>
      </c>
    </row>
    <row r="139" spans="1:11">
      <c r="A139">
        <v>568</v>
      </c>
      <c r="B139">
        <v>12697200</v>
      </c>
      <c r="C139">
        <v>11899800</v>
      </c>
      <c r="D139">
        <v>5812200</v>
      </c>
      <c r="E139">
        <f t="shared" si="8"/>
        <v>0.23629710940358581</v>
      </c>
      <c r="F139">
        <f t="shared" si="9"/>
        <v>0.76370289059641416</v>
      </c>
      <c r="I139">
        <v>1093500</v>
      </c>
      <c r="J139">
        <f t="shared" si="10"/>
        <v>6905700</v>
      </c>
      <c r="K139">
        <f t="shared" si="11"/>
        <v>0.71924624954262717</v>
      </c>
    </row>
    <row r="140" spans="1:11">
      <c r="A140">
        <v>569</v>
      </c>
      <c r="B140">
        <v>1480500</v>
      </c>
      <c r="C140">
        <v>1215000</v>
      </c>
      <c r="D140">
        <v>155700</v>
      </c>
      <c r="E140">
        <f t="shared" si="8"/>
        <v>5.7762938230383976E-2</v>
      </c>
      <c r="F140">
        <f t="shared" si="9"/>
        <v>0.94223706176961608</v>
      </c>
      <c r="I140">
        <v>361800</v>
      </c>
      <c r="J140">
        <f t="shared" si="10"/>
        <v>517500</v>
      </c>
      <c r="K140">
        <f t="shared" si="11"/>
        <v>0.80801335559265441</v>
      </c>
    </row>
    <row r="141" spans="1:11">
      <c r="A141">
        <v>571</v>
      </c>
      <c r="B141">
        <v>1540800</v>
      </c>
      <c r="C141">
        <v>1294200</v>
      </c>
      <c r="D141">
        <v>18900</v>
      </c>
      <c r="E141">
        <f t="shared" si="8"/>
        <v>6.6666666666666671E-3</v>
      </c>
      <c r="F141">
        <f t="shared" si="9"/>
        <v>0.99333333333333329</v>
      </c>
      <c r="I141">
        <v>505800</v>
      </c>
      <c r="J141">
        <f t="shared" si="10"/>
        <v>524700</v>
      </c>
      <c r="K141">
        <f t="shared" si="11"/>
        <v>0.81492063492063493</v>
      </c>
    </row>
    <row r="142" spans="1:11">
      <c r="A142">
        <v>574</v>
      </c>
      <c r="B142">
        <v>193500</v>
      </c>
      <c r="C142">
        <v>172800</v>
      </c>
      <c r="D142">
        <v>77400</v>
      </c>
      <c r="E142">
        <f t="shared" si="8"/>
        <v>0.2113022113022113</v>
      </c>
      <c r="F142">
        <f t="shared" si="9"/>
        <v>0.78869778869778873</v>
      </c>
      <c r="I142">
        <v>25200</v>
      </c>
      <c r="J142">
        <f t="shared" si="10"/>
        <v>102600</v>
      </c>
      <c r="K142">
        <f t="shared" si="11"/>
        <v>0.71990171990171992</v>
      </c>
    </row>
    <row r="143" spans="1:11">
      <c r="A143">
        <v>576</v>
      </c>
      <c r="B143">
        <v>428400</v>
      </c>
      <c r="C143">
        <v>422100</v>
      </c>
      <c r="D143">
        <v>0</v>
      </c>
      <c r="E143">
        <f t="shared" si="8"/>
        <v>0</v>
      </c>
      <c r="F143">
        <f t="shared" si="9"/>
        <v>1</v>
      </c>
      <c r="I143">
        <v>0</v>
      </c>
      <c r="J143">
        <f t="shared" si="10"/>
        <v>0</v>
      </c>
      <c r="K143">
        <f t="shared" si="11"/>
        <v>1</v>
      </c>
    </row>
    <row r="144" spans="1:11">
      <c r="A144">
        <v>577</v>
      </c>
      <c r="B144">
        <v>381600</v>
      </c>
      <c r="C144">
        <v>390600</v>
      </c>
      <c r="D144">
        <v>0</v>
      </c>
      <c r="E144">
        <f t="shared" si="8"/>
        <v>0</v>
      </c>
      <c r="F144">
        <f t="shared" si="9"/>
        <v>1</v>
      </c>
      <c r="I144">
        <v>0</v>
      </c>
      <c r="J144">
        <f t="shared" si="10"/>
        <v>0</v>
      </c>
      <c r="K144">
        <f t="shared" si="11"/>
        <v>1</v>
      </c>
    </row>
    <row r="145" spans="1:11">
      <c r="A145">
        <v>579</v>
      </c>
      <c r="B145">
        <v>7108200</v>
      </c>
      <c r="C145">
        <v>5661000</v>
      </c>
      <c r="D145">
        <v>1617300</v>
      </c>
      <c r="E145">
        <f t="shared" si="8"/>
        <v>0.12665632929235973</v>
      </c>
      <c r="F145">
        <f t="shared" si="9"/>
        <v>0.8733436707076403</v>
      </c>
      <c r="I145">
        <v>38700</v>
      </c>
      <c r="J145">
        <f t="shared" si="10"/>
        <v>1656000</v>
      </c>
      <c r="K145">
        <f t="shared" si="11"/>
        <v>0.8703129405131097</v>
      </c>
    </row>
    <row r="146" spans="1:11">
      <c r="A146">
        <v>583</v>
      </c>
      <c r="B146">
        <v>2309400</v>
      </c>
      <c r="C146">
        <v>1997100</v>
      </c>
      <c r="D146">
        <v>1037700</v>
      </c>
      <c r="E146">
        <f t="shared" si="8"/>
        <v>0.24096133751306165</v>
      </c>
      <c r="F146">
        <f t="shared" si="9"/>
        <v>0.7590386624869383</v>
      </c>
      <c r="I146">
        <v>147600</v>
      </c>
      <c r="J146">
        <f t="shared" si="10"/>
        <v>1185300</v>
      </c>
      <c r="K146">
        <f t="shared" si="11"/>
        <v>0.72476489028213165</v>
      </c>
    </row>
    <row r="147" spans="1:11">
      <c r="A147">
        <v>588</v>
      </c>
      <c r="B147">
        <v>687600</v>
      </c>
      <c r="C147">
        <v>735300</v>
      </c>
      <c r="D147">
        <v>180000</v>
      </c>
      <c r="E147">
        <f t="shared" si="8"/>
        <v>0.1265022137887413</v>
      </c>
      <c r="F147">
        <f t="shared" si="9"/>
        <v>0.87349778621125873</v>
      </c>
      <c r="I147">
        <v>182700</v>
      </c>
      <c r="J147">
        <f t="shared" si="10"/>
        <v>362700</v>
      </c>
      <c r="K147">
        <f t="shared" si="11"/>
        <v>0.74509803921568629</v>
      </c>
    </row>
    <row r="148" spans="1:11">
      <c r="A148">
        <v>589</v>
      </c>
      <c r="B148">
        <v>864000</v>
      </c>
      <c r="C148">
        <v>844200</v>
      </c>
      <c r="D148">
        <v>66600</v>
      </c>
      <c r="E148">
        <f t="shared" si="8"/>
        <v>3.8988408851422553E-2</v>
      </c>
      <c r="F148">
        <f t="shared" si="9"/>
        <v>0.96101159114857748</v>
      </c>
      <c r="I148">
        <v>185400</v>
      </c>
      <c r="J148">
        <f t="shared" si="10"/>
        <v>252000</v>
      </c>
      <c r="K148">
        <f t="shared" si="11"/>
        <v>0.85247629083245524</v>
      </c>
    </row>
    <row r="149" spans="1:11">
      <c r="A149">
        <v>590</v>
      </c>
      <c r="B149">
        <v>986400</v>
      </c>
      <c r="C149">
        <v>861300</v>
      </c>
      <c r="D149">
        <v>927900</v>
      </c>
      <c r="E149">
        <f t="shared" si="8"/>
        <v>0.50219191427179732</v>
      </c>
      <c r="F149">
        <f t="shared" si="9"/>
        <v>0.49780808572820268</v>
      </c>
      <c r="I149">
        <v>272700</v>
      </c>
      <c r="J149">
        <f t="shared" si="10"/>
        <v>1200600</v>
      </c>
      <c r="K149">
        <f t="shared" si="11"/>
        <v>0.35021919142717972</v>
      </c>
    </row>
    <row r="150" spans="1:11">
      <c r="A150">
        <v>606</v>
      </c>
      <c r="B150">
        <v>562500</v>
      </c>
      <c r="C150">
        <v>582300</v>
      </c>
      <c r="D150">
        <v>214200</v>
      </c>
      <c r="E150">
        <f t="shared" si="8"/>
        <v>0.1871069182389937</v>
      </c>
      <c r="F150">
        <f t="shared" si="9"/>
        <v>0.81289308176100628</v>
      </c>
      <c r="I150">
        <v>57600</v>
      </c>
      <c r="J150">
        <f t="shared" si="10"/>
        <v>271800</v>
      </c>
      <c r="K150">
        <f t="shared" si="11"/>
        <v>0.76257861635220126</v>
      </c>
    </row>
    <row r="151" spans="1:11">
      <c r="A151">
        <v>607</v>
      </c>
      <c r="B151">
        <v>261000</v>
      </c>
      <c r="C151">
        <v>216000</v>
      </c>
      <c r="D151">
        <v>43200</v>
      </c>
      <c r="E151">
        <f t="shared" si="8"/>
        <v>9.056603773584905E-2</v>
      </c>
      <c r="F151">
        <f t="shared" si="9"/>
        <v>0.90943396226415096</v>
      </c>
      <c r="I151">
        <v>33300</v>
      </c>
      <c r="J151">
        <f t="shared" si="10"/>
        <v>76500</v>
      </c>
      <c r="K151">
        <f t="shared" si="11"/>
        <v>0.839622641509434</v>
      </c>
    </row>
    <row r="152" spans="1:11">
      <c r="A152">
        <v>608</v>
      </c>
      <c r="B152">
        <v>436500</v>
      </c>
      <c r="C152">
        <v>316800</v>
      </c>
      <c r="D152">
        <v>249300</v>
      </c>
      <c r="E152">
        <f t="shared" si="8"/>
        <v>0.33094384707287933</v>
      </c>
      <c r="F152">
        <f t="shared" si="9"/>
        <v>0.66905615292712062</v>
      </c>
      <c r="I152">
        <v>24300</v>
      </c>
      <c r="J152">
        <f t="shared" si="10"/>
        <v>273600</v>
      </c>
      <c r="K152">
        <f t="shared" si="11"/>
        <v>0.63679808841099161</v>
      </c>
    </row>
    <row r="153" spans="1:11">
      <c r="A153">
        <v>609</v>
      </c>
      <c r="B153">
        <v>354600</v>
      </c>
      <c r="C153">
        <v>293400</v>
      </c>
      <c r="D153">
        <v>192600</v>
      </c>
      <c r="E153">
        <f t="shared" si="8"/>
        <v>0.29722222222222222</v>
      </c>
      <c r="F153">
        <f t="shared" si="9"/>
        <v>0.70277777777777772</v>
      </c>
      <c r="I153">
        <v>27900</v>
      </c>
      <c r="J153">
        <f t="shared" si="10"/>
        <v>220500</v>
      </c>
      <c r="K153">
        <f t="shared" si="11"/>
        <v>0.65972222222222221</v>
      </c>
    </row>
    <row r="154" spans="1:11">
      <c r="A154">
        <v>610</v>
      </c>
      <c r="B154">
        <v>314100</v>
      </c>
      <c r="C154">
        <v>315900</v>
      </c>
      <c r="D154">
        <v>101700</v>
      </c>
      <c r="E154">
        <f t="shared" si="8"/>
        <v>0.16142857142857142</v>
      </c>
      <c r="F154">
        <f t="shared" si="9"/>
        <v>0.83857142857142852</v>
      </c>
      <c r="I154">
        <v>54900</v>
      </c>
      <c r="J154">
        <f t="shared" si="10"/>
        <v>156600</v>
      </c>
      <c r="K154">
        <f t="shared" si="11"/>
        <v>0.75142857142857145</v>
      </c>
    </row>
    <row r="155" spans="1:11">
      <c r="A155">
        <v>611</v>
      </c>
      <c r="B155">
        <v>153000</v>
      </c>
      <c r="C155">
        <v>178200</v>
      </c>
      <c r="D155">
        <v>65700</v>
      </c>
      <c r="E155">
        <f t="shared" si="8"/>
        <v>0.1983695652173913</v>
      </c>
      <c r="F155">
        <f t="shared" si="9"/>
        <v>0.80163043478260865</v>
      </c>
      <c r="I155">
        <v>38700</v>
      </c>
      <c r="J155">
        <f t="shared" si="10"/>
        <v>104400</v>
      </c>
      <c r="K155">
        <f t="shared" si="11"/>
        <v>0.68478260869565211</v>
      </c>
    </row>
    <row r="156" spans="1:11">
      <c r="A156">
        <v>612</v>
      </c>
      <c r="B156">
        <v>318600</v>
      </c>
      <c r="C156">
        <v>333000</v>
      </c>
      <c r="D156">
        <v>102600</v>
      </c>
      <c r="E156">
        <f t="shared" si="8"/>
        <v>0.15745856353591159</v>
      </c>
      <c r="F156">
        <f t="shared" si="9"/>
        <v>0.84254143646408841</v>
      </c>
      <c r="I156">
        <v>56700</v>
      </c>
      <c r="J156">
        <f t="shared" si="10"/>
        <v>159300</v>
      </c>
      <c r="K156">
        <f t="shared" si="11"/>
        <v>0.75552486187845302</v>
      </c>
    </row>
    <row r="157" spans="1:11">
      <c r="A157">
        <v>613</v>
      </c>
      <c r="B157">
        <v>106200</v>
      </c>
      <c r="C157">
        <v>110700</v>
      </c>
      <c r="D157">
        <v>900</v>
      </c>
      <c r="E157">
        <f t="shared" si="8"/>
        <v>4.1493775933609959E-3</v>
      </c>
      <c r="F157">
        <f t="shared" si="9"/>
        <v>0.99585062240663902</v>
      </c>
      <c r="I157">
        <v>61200</v>
      </c>
      <c r="J157">
        <f t="shared" si="10"/>
        <v>62100</v>
      </c>
      <c r="K157">
        <f t="shared" si="11"/>
        <v>0.7136929460580913</v>
      </c>
    </row>
    <row r="158" spans="1:11">
      <c r="A158">
        <v>614</v>
      </c>
      <c r="B158">
        <v>200700</v>
      </c>
      <c r="C158">
        <v>214200</v>
      </c>
      <c r="D158">
        <v>97200</v>
      </c>
      <c r="E158">
        <f t="shared" si="8"/>
        <v>0.23427331887201736</v>
      </c>
      <c r="F158">
        <f t="shared" si="9"/>
        <v>0.76572668112798259</v>
      </c>
      <c r="I158">
        <v>21600</v>
      </c>
      <c r="J158">
        <f t="shared" si="10"/>
        <v>118800</v>
      </c>
      <c r="K158">
        <f t="shared" si="11"/>
        <v>0.71366594360086766</v>
      </c>
    </row>
    <row r="159" spans="1:11">
      <c r="A159">
        <v>615</v>
      </c>
      <c r="B159">
        <v>328500</v>
      </c>
      <c r="C159">
        <v>293400</v>
      </c>
      <c r="D159">
        <v>61200</v>
      </c>
      <c r="E159">
        <f t="shared" si="8"/>
        <v>9.8408104196816212E-2</v>
      </c>
      <c r="F159">
        <f t="shared" si="9"/>
        <v>0.90159189580318377</v>
      </c>
      <c r="I159">
        <v>52200</v>
      </c>
      <c r="J159">
        <f t="shared" si="10"/>
        <v>113400</v>
      </c>
      <c r="K159">
        <f t="shared" si="11"/>
        <v>0.81765557163531111</v>
      </c>
    </row>
    <row r="160" spans="1:11">
      <c r="A160">
        <v>616</v>
      </c>
      <c r="B160">
        <v>391500</v>
      </c>
      <c r="C160">
        <v>342000</v>
      </c>
      <c r="D160">
        <v>213300</v>
      </c>
      <c r="E160">
        <f t="shared" si="8"/>
        <v>0.29079754601226993</v>
      </c>
      <c r="F160">
        <f t="shared" si="9"/>
        <v>0.70920245398773007</v>
      </c>
      <c r="I160">
        <v>61200</v>
      </c>
      <c r="J160">
        <f t="shared" si="10"/>
        <v>274500</v>
      </c>
      <c r="K160">
        <f t="shared" si="11"/>
        <v>0.62576687116564411</v>
      </c>
    </row>
    <row r="161" spans="1:11">
      <c r="A161">
        <v>617</v>
      </c>
      <c r="B161">
        <v>270000</v>
      </c>
      <c r="C161">
        <v>288900</v>
      </c>
      <c r="D161">
        <v>177300</v>
      </c>
      <c r="E161">
        <f t="shared" si="8"/>
        <v>0.3172302737520129</v>
      </c>
      <c r="F161">
        <f t="shared" si="9"/>
        <v>0.68276972624798704</v>
      </c>
      <c r="I161">
        <v>0</v>
      </c>
      <c r="J161">
        <f t="shared" si="10"/>
        <v>177300</v>
      </c>
      <c r="K161">
        <f t="shared" si="11"/>
        <v>0.68276972624798704</v>
      </c>
    </row>
    <row r="162" spans="1:11">
      <c r="A162">
        <v>619</v>
      </c>
      <c r="B162">
        <v>234000</v>
      </c>
      <c r="C162">
        <v>269100</v>
      </c>
      <c r="D162">
        <v>13500</v>
      </c>
      <c r="E162">
        <f t="shared" si="8"/>
        <v>2.6833631484794274E-2</v>
      </c>
      <c r="F162">
        <f t="shared" si="9"/>
        <v>0.97316636851520577</v>
      </c>
      <c r="I162">
        <v>99000</v>
      </c>
      <c r="J162">
        <f t="shared" si="10"/>
        <v>112500</v>
      </c>
      <c r="K162">
        <f t="shared" si="11"/>
        <v>0.77638640429338102</v>
      </c>
    </row>
    <row r="163" spans="1:11">
      <c r="A163">
        <v>620</v>
      </c>
      <c r="B163">
        <v>846900</v>
      </c>
      <c r="C163">
        <v>877500</v>
      </c>
      <c r="D163">
        <v>737100</v>
      </c>
      <c r="E163">
        <f t="shared" si="8"/>
        <v>0.42745302713987476</v>
      </c>
      <c r="F163">
        <f t="shared" si="9"/>
        <v>0.57254697286012524</v>
      </c>
      <c r="I163">
        <v>10800</v>
      </c>
      <c r="J163">
        <f t="shared" si="10"/>
        <v>747900</v>
      </c>
      <c r="K163">
        <f t="shared" si="11"/>
        <v>0.56628392484342382</v>
      </c>
    </row>
    <row r="164" spans="1:11">
      <c r="A164">
        <v>621</v>
      </c>
      <c r="B164">
        <v>339300</v>
      </c>
      <c r="C164">
        <v>357300</v>
      </c>
      <c r="D164">
        <v>89100</v>
      </c>
      <c r="E164">
        <f t="shared" si="8"/>
        <v>0.12790697674418605</v>
      </c>
      <c r="F164">
        <f t="shared" si="9"/>
        <v>0.87209302325581395</v>
      </c>
      <c r="I164">
        <v>53100</v>
      </c>
      <c r="J164">
        <f t="shared" si="10"/>
        <v>142200</v>
      </c>
      <c r="K164">
        <f t="shared" si="11"/>
        <v>0.79586563307493541</v>
      </c>
    </row>
    <row r="165" spans="1:11">
      <c r="A165">
        <v>628</v>
      </c>
      <c r="B165">
        <v>444600</v>
      </c>
      <c r="C165">
        <v>470700</v>
      </c>
      <c r="D165">
        <v>3600</v>
      </c>
      <c r="E165">
        <f t="shared" si="8"/>
        <v>3.9331366764995086E-3</v>
      </c>
      <c r="F165">
        <f t="shared" si="9"/>
        <v>0.99606686332350047</v>
      </c>
      <c r="I165">
        <v>46800</v>
      </c>
      <c r="J165">
        <f t="shared" si="10"/>
        <v>50400</v>
      </c>
      <c r="K165">
        <f t="shared" si="11"/>
        <v>0.94493608652900685</v>
      </c>
    </row>
    <row r="166" spans="1:11">
      <c r="A166">
        <v>631</v>
      </c>
      <c r="B166">
        <v>852300</v>
      </c>
      <c r="C166">
        <v>833400</v>
      </c>
      <c r="D166">
        <v>17100</v>
      </c>
      <c r="E166">
        <f t="shared" si="8"/>
        <v>1.014415376401495E-2</v>
      </c>
      <c r="F166">
        <f t="shared" si="9"/>
        <v>0.9898558462359851</v>
      </c>
      <c r="I166">
        <v>10800</v>
      </c>
      <c r="J166">
        <f t="shared" si="10"/>
        <v>27900</v>
      </c>
      <c r="K166">
        <f t="shared" si="11"/>
        <v>0.98344901227976511</v>
      </c>
    </row>
    <row r="167" spans="1:11">
      <c r="A167">
        <v>633</v>
      </c>
      <c r="B167">
        <v>422100</v>
      </c>
      <c r="C167">
        <v>443700</v>
      </c>
      <c r="D167">
        <v>0</v>
      </c>
      <c r="E167">
        <f t="shared" si="8"/>
        <v>0</v>
      </c>
      <c r="F167">
        <f t="shared" si="9"/>
        <v>1</v>
      </c>
      <c r="I167">
        <v>0</v>
      </c>
      <c r="J167">
        <f t="shared" si="10"/>
        <v>0</v>
      </c>
      <c r="K167">
        <f t="shared" si="11"/>
        <v>1</v>
      </c>
    </row>
    <row r="168" spans="1:11">
      <c r="A168">
        <v>635</v>
      </c>
      <c r="B168">
        <v>932400</v>
      </c>
      <c r="C168">
        <v>914400</v>
      </c>
      <c r="D168">
        <v>216000</v>
      </c>
      <c r="E168">
        <f t="shared" si="8"/>
        <v>0.11695906432748537</v>
      </c>
      <c r="F168">
        <f t="shared" si="9"/>
        <v>0.88304093567251463</v>
      </c>
      <c r="I168">
        <v>8100</v>
      </c>
      <c r="J168">
        <f t="shared" si="10"/>
        <v>224100</v>
      </c>
      <c r="K168">
        <f t="shared" si="11"/>
        <v>0.87865497076023391</v>
      </c>
    </row>
    <row r="169" spans="1:11">
      <c r="A169">
        <v>636</v>
      </c>
      <c r="B169">
        <v>513900</v>
      </c>
      <c r="C169">
        <v>480600</v>
      </c>
      <c r="D169">
        <v>0</v>
      </c>
      <c r="E169">
        <f t="shared" si="8"/>
        <v>0</v>
      </c>
      <c r="F169">
        <f t="shared" si="9"/>
        <v>1</v>
      </c>
      <c r="I169">
        <v>0</v>
      </c>
      <c r="J169">
        <f t="shared" si="10"/>
        <v>0</v>
      </c>
      <c r="K169">
        <f t="shared" si="11"/>
        <v>1</v>
      </c>
    </row>
    <row r="170" spans="1:11">
      <c r="A170">
        <v>640</v>
      </c>
      <c r="B170">
        <v>361800</v>
      </c>
      <c r="C170">
        <v>493200</v>
      </c>
      <c r="D170">
        <v>38700</v>
      </c>
      <c r="E170">
        <f t="shared" si="8"/>
        <v>4.5263157894736845E-2</v>
      </c>
      <c r="F170">
        <f t="shared" si="9"/>
        <v>0.95473684210526311</v>
      </c>
      <c r="I170">
        <v>57600</v>
      </c>
      <c r="J170">
        <f t="shared" si="10"/>
        <v>96300</v>
      </c>
      <c r="K170">
        <f t="shared" si="11"/>
        <v>0.88736842105263158</v>
      </c>
    </row>
    <row r="171" spans="1:11">
      <c r="A171">
        <v>708</v>
      </c>
      <c r="B171">
        <v>811800</v>
      </c>
      <c r="C171">
        <v>693000</v>
      </c>
      <c r="D171">
        <v>194400</v>
      </c>
      <c r="E171">
        <f t="shared" si="8"/>
        <v>0.12918660287081341</v>
      </c>
      <c r="F171">
        <f t="shared" si="9"/>
        <v>0.87081339712918659</v>
      </c>
      <c r="I171">
        <v>147600</v>
      </c>
      <c r="J171">
        <f t="shared" si="10"/>
        <v>342000</v>
      </c>
      <c r="K171">
        <f t="shared" si="11"/>
        <v>0.77272727272727271</v>
      </c>
    </row>
    <row r="172" spans="1:11">
      <c r="A172">
        <v>709</v>
      </c>
      <c r="B172">
        <v>2484000</v>
      </c>
      <c r="C172">
        <v>2216700</v>
      </c>
      <c r="D172">
        <v>219600</v>
      </c>
      <c r="E172">
        <f t="shared" si="8"/>
        <v>4.6716446486693472E-2</v>
      </c>
      <c r="F172">
        <f t="shared" si="9"/>
        <v>0.95328355351330651</v>
      </c>
      <c r="I172">
        <v>164700</v>
      </c>
      <c r="J172">
        <f t="shared" si="10"/>
        <v>384300</v>
      </c>
      <c r="K172">
        <f t="shared" si="11"/>
        <v>0.91824621864828648</v>
      </c>
    </row>
    <row r="173" spans="1:11">
      <c r="A173">
        <v>710</v>
      </c>
      <c r="B173">
        <v>849600</v>
      </c>
      <c r="C173">
        <v>900000</v>
      </c>
      <c r="E173">
        <f t="shared" si="8"/>
        <v>0</v>
      </c>
      <c r="F173">
        <f t="shared" si="9"/>
        <v>1</v>
      </c>
      <c r="J173">
        <f t="shared" si="10"/>
        <v>0</v>
      </c>
      <c r="K173">
        <f t="shared" si="11"/>
        <v>1</v>
      </c>
    </row>
    <row r="174" spans="1:11">
      <c r="A174">
        <v>711</v>
      </c>
      <c r="B174">
        <v>2679300</v>
      </c>
      <c r="C174">
        <v>2464200</v>
      </c>
      <c r="D174">
        <v>1113300</v>
      </c>
      <c r="E174">
        <f t="shared" si="8"/>
        <v>0.21644794400699913</v>
      </c>
      <c r="F174">
        <f t="shared" si="9"/>
        <v>0.78355205599300093</v>
      </c>
      <c r="I174">
        <v>97200</v>
      </c>
      <c r="J174">
        <f t="shared" si="10"/>
        <v>1210500</v>
      </c>
      <c r="K174">
        <f t="shared" si="11"/>
        <v>0.76465441819772528</v>
      </c>
    </row>
    <row r="175" spans="1:11">
      <c r="A175">
        <v>712</v>
      </c>
      <c r="B175">
        <v>1443600</v>
      </c>
      <c r="C175">
        <v>1191600</v>
      </c>
      <c r="D175">
        <v>156600</v>
      </c>
      <c r="E175">
        <f t="shared" si="8"/>
        <v>5.9426229508196718E-2</v>
      </c>
      <c r="F175">
        <f t="shared" si="9"/>
        <v>0.94057377049180324</v>
      </c>
      <c r="I175">
        <v>191700</v>
      </c>
      <c r="J175">
        <f t="shared" si="10"/>
        <v>348300</v>
      </c>
      <c r="K175">
        <f t="shared" si="11"/>
        <v>0.86782786885245899</v>
      </c>
    </row>
    <row r="176" spans="1:11">
      <c r="A176">
        <v>714</v>
      </c>
      <c r="B176">
        <v>409500</v>
      </c>
      <c r="C176">
        <v>309600</v>
      </c>
      <c r="D176">
        <v>362700</v>
      </c>
      <c r="E176">
        <f t="shared" si="8"/>
        <v>0.50438047559449317</v>
      </c>
      <c r="F176">
        <f t="shared" si="9"/>
        <v>0.49561952440550683</v>
      </c>
      <c r="I176">
        <v>11700</v>
      </c>
      <c r="J176">
        <f t="shared" si="10"/>
        <v>374400</v>
      </c>
      <c r="K176">
        <f t="shared" si="11"/>
        <v>0.47934918648310387</v>
      </c>
    </row>
    <row r="177" spans="1:11">
      <c r="A177">
        <v>715</v>
      </c>
      <c r="B177">
        <v>298800</v>
      </c>
      <c r="C177">
        <v>361800</v>
      </c>
      <c r="D177">
        <v>239400</v>
      </c>
      <c r="E177">
        <f t="shared" si="8"/>
        <v>0.36239782016348776</v>
      </c>
      <c r="F177">
        <f t="shared" si="9"/>
        <v>0.63760217983651224</v>
      </c>
      <c r="I177">
        <v>39600</v>
      </c>
      <c r="J177">
        <f t="shared" si="10"/>
        <v>279000</v>
      </c>
      <c r="K177">
        <f t="shared" si="11"/>
        <v>0.57765667574931878</v>
      </c>
    </row>
    <row r="178" spans="1:11">
      <c r="A178">
        <v>717</v>
      </c>
      <c r="B178">
        <v>432000</v>
      </c>
      <c r="C178">
        <v>414900</v>
      </c>
      <c r="D178">
        <v>395100</v>
      </c>
      <c r="E178">
        <f t="shared" si="8"/>
        <v>0.46652497343251859</v>
      </c>
      <c r="F178">
        <f t="shared" si="9"/>
        <v>0.53347502656748147</v>
      </c>
      <c r="I178">
        <v>15300</v>
      </c>
      <c r="J178">
        <f t="shared" si="10"/>
        <v>410400</v>
      </c>
      <c r="K178">
        <f t="shared" si="11"/>
        <v>0.51540913921360254</v>
      </c>
    </row>
    <row r="179" spans="1:11">
      <c r="A179">
        <v>724</v>
      </c>
      <c r="B179">
        <v>329400</v>
      </c>
      <c r="C179">
        <v>345600</v>
      </c>
      <c r="D179">
        <v>286200</v>
      </c>
      <c r="E179">
        <f t="shared" si="8"/>
        <v>0.42399999999999999</v>
      </c>
      <c r="F179">
        <f t="shared" si="9"/>
        <v>0.57600000000000007</v>
      </c>
      <c r="I179">
        <v>184500</v>
      </c>
      <c r="J179">
        <f t="shared" si="10"/>
        <v>470700</v>
      </c>
      <c r="K179">
        <f t="shared" si="11"/>
        <v>0.30266666666666664</v>
      </c>
    </row>
    <row r="180" spans="1:11">
      <c r="A180">
        <v>725</v>
      </c>
      <c r="B180">
        <v>233100</v>
      </c>
      <c r="C180">
        <v>214200</v>
      </c>
      <c r="D180">
        <v>147600</v>
      </c>
      <c r="E180">
        <f t="shared" si="8"/>
        <v>0.32997987927565392</v>
      </c>
      <c r="F180">
        <f t="shared" si="9"/>
        <v>0.67002012072434614</v>
      </c>
      <c r="I180">
        <v>40500</v>
      </c>
      <c r="J180">
        <f t="shared" si="10"/>
        <v>188100</v>
      </c>
      <c r="K180">
        <f t="shared" si="11"/>
        <v>0.57947686116700203</v>
      </c>
    </row>
    <row r="181" spans="1:11">
      <c r="A181">
        <v>726</v>
      </c>
      <c r="B181">
        <v>161100</v>
      </c>
      <c r="C181">
        <v>144900</v>
      </c>
      <c r="D181">
        <v>87300</v>
      </c>
      <c r="E181">
        <f t="shared" si="8"/>
        <v>0.28529411764705881</v>
      </c>
      <c r="F181">
        <f t="shared" si="9"/>
        <v>0.71470588235294119</v>
      </c>
      <c r="I181">
        <v>83700</v>
      </c>
      <c r="J181">
        <f t="shared" si="10"/>
        <v>171000</v>
      </c>
      <c r="K181">
        <f t="shared" si="11"/>
        <v>0.44117647058823528</v>
      </c>
    </row>
    <row r="182" spans="1:11">
      <c r="A182">
        <v>727</v>
      </c>
      <c r="B182">
        <v>248400</v>
      </c>
      <c r="C182">
        <v>257400</v>
      </c>
      <c r="D182">
        <v>200700</v>
      </c>
      <c r="E182">
        <f t="shared" si="8"/>
        <v>0.39679715302491103</v>
      </c>
      <c r="F182">
        <f t="shared" si="9"/>
        <v>0.60320284697508897</v>
      </c>
      <c r="I182">
        <v>135000</v>
      </c>
      <c r="J182">
        <f t="shared" si="10"/>
        <v>335700</v>
      </c>
      <c r="K182">
        <f t="shared" si="11"/>
        <v>0.33629893238434161</v>
      </c>
    </row>
    <row r="183" spans="1:11">
      <c r="A183">
        <v>731</v>
      </c>
      <c r="B183">
        <v>290700</v>
      </c>
      <c r="C183">
        <v>264600</v>
      </c>
      <c r="D183">
        <v>151200</v>
      </c>
      <c r="E183">
        <f t="shared" si="8"/>
        <v>0.27228525121555913</v>
      </c>
      <c r="F183">
        <f t="shared" si="9"/>
        <v>0.72771474878444087</v>
      </c>
      <c r="I183">
        <v>10800</v>
      </c>
      <c r="J183">
        <f t="shared" si="10"/>
        <v>162000</v>
      </c>
      <c r="K183">
        <f t="shared" si="11"/>
        <v>0.70826580226904379</v>
      </c>
    </row>
    <row r="184" spans="1:11">
      <c r="A184">
        <v>732</v>
      </c>
      <c r="B184">
        <v>292500</v>
      </c>
      <c r="C184">
        <v>269100</v>
      </c>
      <c r="D184">
        <v>235800</v>
      </c>
      <c r="E184">
        <f t="shared" si="8"/>
        <v>0.41987179487179488</v>
      </c>
      <c r="F184">
        <f t="shared" si="9"/>
        <v>0.58012820512820507</v>
      </c>
      <c r="I184">
        <v>87300</v>
      </c>
      <c r="J184">
        <f t="shared" si="10"/>
        <v>323100</v>
      </c>
      <c r="K184">
        <f t="shared" si="11"/>
        <v>0.42467948717948723</v>
      </c>
    </row>
    <row r="185" spans="1:11">
      <c r="A185">
        <v>733</v>
      </c>
      <c r="B185">
        <v>366300</v>
      </c>
      <c r="C185">
        <v>360000</v>
      </c>
      <c r="D185">
        <v>135000</v>
      </c>
      <c r="E185">
        <f t="shared" si="8"/>
        <v>0.18587360594795538</v>
      </c>
      <c r="F185">
        <f t="shared" si="9"/>
        <v>0.81412639405204468</v>
      </c>
      <c r="I185">
        <v>25200</v>
      </c>
      <c r="J185">
        <f t="shared" si="10"/>
        <v>160200</v>
      </c>
      <c r="K185">
        <f t="shared" si="11"/>
        <v>0.7794299876084263</v>
      </c>
    </row>
    <row r="186" spans="1:11">
      <c r="A186">
        <v>734</v>
      </c>
      <c r="B186">
        <v>484200</v>
      </c>
      <c r="C186">
        <v>631800</v>
      </c>
      <c r="D186">
        <v>183600</v>
      </c>
      <c r="E186">
        <f t="shared" si="8"/>
        <v>0.16451612903225807</v>
      </c>
      <c r="F186">
        <f t="shared" si="9"/>
        <v>0.8354838709677419</v>
      </c>
      <c r="I186">
        <v>69300</v>
      </c>
      <c r="J186">
        <f t="shared" si="10"/>
        <v>252900</v>
      </c>
      <c r="K186">
        <f t="shared" si="11"/>
        <v>0.77338709677419359</v>
      </c>
    </row>
    <row r="187" spans="1:11">
      <c r="A187">
        <v>735</v>
      </c>
      <c r="B187">
        <v>665100</v>
      </c>
      <c r="C187">
        <v>678600</v>
      </c>
      <c r="D187">
        <v>387900</v>
      </c>
      <c r="E187">
        <f t="shared" si="8"/>
        <v>0.28868050904219694</v>
      </c>
      <c r="F187">
        <f t="shared" si="9"/>
        <v>0.71131949095780311</v>
      </c>
      <c r="I187">
        <v>147600</v>
      </c>
      <c r="J187">
        <f t="shared" si="10"/>
        <v>535500</v>
      </c>
      <c r="K187">
        <f t="shared" si="11"/>
        <v>0.60147354320160751</v>
      </c>
    </row>
    <row r="188" spans="1:11">
      <c r="A188">
        <v>741</v>
      </c>
      <c r="B188">
        <v>681300</v>
      </c>
      <c r="C188">
        <v>600300</v>
      </c>
      <c r="D188">
        <v>118800</v>
      </c>
      <c r="E188">
        <f t="shared" si="8"/>
        <v>9.269662921348315E-2</v>
      </c>
      <c r="F188">
        <f t="shared" si="9"/>
        <v>0.90730337078651679</v>
      </c>
      <c r="I188">
        <v>90900</v>
      </c>
      <c r="J188">
        <f t="shared" si="10"/>
        <v>209700</v>
      </c>
      <c r="K188">
        <f t="shared" si="11"/>
        <v>0.836376404494382</v>
      </c>
    </row>
    <row r="189" spans="1:11">
      <c r="A189">
        <v>743</v>
      </c>
      <c r="B189">
        <v>1774800</v>
      </c>
      <c r="C189">
        <v>1192500</v>
      </c>
      <c r="D189">
        <v>965700</v>
      </c>
      <c r="E189">
        <f t="shared" si="8"/>
        <v>0.32544737640279042</v>
      </c>
      <c r="F189">
        <f t="shared" si="9"/>
        <v>0.67455262359720958</v>
      </c>
      <c r="I189">
        <v>0</v>
      </c>
      <c r="J189">
        <f t="shared" si="10"/>
        <v>965700</v>
      </c>
      <c r="K189">
        <f t="shared" si="11"/>
        <v>0.67455262359720958</v>
      </c>
    </row>
    <row r="190" spans="1:11">
      <c r="A190">
        <v>745</v>
      </c>
      <c r="B190">
        <v>558900</v>
      </c>
      <c r="C190">
        <v>467100</v>
      </c>
      <c r="D190">
        <v>437400</v>
      </c>
      <c r="E190">
        <f t="shared" si="8"/>
        <v>0.4263157894736842</v>
      </c>
      <c r="F190">
        <f t="shared" si="9"/>
        <v>0.5736842105263158</v>
      </c>
      <c r="I190">
        <v>214200</v>
      </c>
      <c r="J190">
        <f t="shared" si="10"/>
        <v>651600</v>
      </c>
      <c r="K190">
        <f t="shared" si="11"/>
        <v>0.36491228070175441</v>
      </c>
    </row>
    <row r="191" spans="1:11">
      <c r="A191">
        <v>749</v>
      </c>
      <c r="B191">
        <v>841500</v>
      </c>
      <c r="C191">
        <v>607500</v>
      </c>
      <c r="D191">
        <v>478800</v>
      </c>
      <c r="E191">
        <f t="shared" si="8"/>
        <v>0.33043478260869563</v>
      </c>
      <c r="F191">
        <f t="shared" si="9"/>
        <v>0.66956521739130437</v>
      </c>
      <c r="I191">
        <v>74700</v>
      </c>
      <c r="J191">
        <f t="shared" si="10"/>
        <v>553500</v>
      </c>
      <c r="K191">
        <f t="shared" si="11"/>
        <v>0.61801242236024845</v>
      </c>
    </row>
    <row r="192" spans="1:11">
      <c r="A192">
        <v>750</v>
      </c>
      <c r="B192">
        <v>718200</v>
      </c>
      <c r="C192">
        <v>627300</v>
      </c>
      <c r="D192">
        <v>715500</v>
      </c>
      <c r="E192">
        <f t="shared" si="8"/>
        <v>0.5317725752508361</v>
      </c>
      <c r="F192">
        <f t="shared" si="9"/>
        <v>0.4682274247491639</v>
      </c>
      <c r="I192">
        <v>550800</v>
      </c>
      <c r="J192">
        <f t="shared" si="10"/>
        <v>1266300</v>
      </c>
      <c r="K192">
        <f t="shared" si="11"/>
        <v>5.8862876254180629E-2</v>
      </c>
    </row>
    <row r="193" spans="1:11">
      <c r="A193">
        <v>753</v>
      </c>
      <c r="B193">
        <v>562500</v>
      </c>
      <c r="C193">
        <v>479700</v>
      </c>
      <c r="D193">
        <v>203400</v>
      </c>
      <c r="E193">
        <f t="shared" si="8"/>
        <v>0.19516407599309155</v>
      </c>
      <c r="F193">
        <f t="shared" si="9"/>
        <v>0.80483592400690851</v>
      </c>
      <c r="I193">
        <v>81900</v>
      </c>
      <c r="J193">
        <f t="shared" si="10"/>
        <v>285300</v>
      </c>
      <c r="K193">
        <f t="shared" si="11"/>
        <v>0.726252158894646</v>
      </c>
    </row>
    <row r="194" spans="1:11">
      <c r="A194">
        <v>757</v>
      </c>
      <c r="B194">
        <v>883800</v>
      </c>
      <c r="C194">
        <v>1200600</v>
      </c>
      <c r="D194">
        <v>804600</v>
      </c>
      <c r="E194">
        <f t="shared" si="8"/>
        <v>0.3860103626943005</v>
      </c>
      <c r="F194">
        <f t="shared" si="9"/>
        <v>0.61398963730569944</v>
      </c>
      <c r="I194">
        <v>0</v>
      </c>
      <c r="J194">
        <f t="shared" si="10"/>
        <v>804600</v>
      </c>
      <c r="K194">
        <f t="shared" si="11"/>
        <v>0.61398963730569944</v>
      </c>
    </row>
    <row r="195" spans="1:11">
      <c r="A195">
        <v>758</v>
      </c>
      <c r="B195">
        <v>1748700</v>
      </c>
      <c r="C195">
        <v>1857600</v>
      </c>
      <c r="D195">
        <v>243900</v>
      </c>
      <c r="E195">
        <f t="shared" ref="E195:E219" si="12">D195/(C195+B195)</f>
        <v>6.7631644621911652E-2</v>
      </c>
      <c r="F195">
        <f t="shared" ref="F195:F219" si="13">1-E195</f>
        <v>0.93236835537808838</v>
      </c>
      <c r="I195">
        <v>44100</v>
      </c>
      <c r="J195">
        <f t="shared" ref="J195:J219" si="14">I195+D195</f>
        <v>288000</v>
      </c>
      <c r="K195">
        <f t="shared" ref="K195:K219" si="15">1-J195/(B195+C195)</f>
        <v>0.92013975542800097</v>
      </c>
    </row>
    <row r="196" spans="1:11">
      <c r="A196">
        <v>763</v>
      </c>
      <c r="B196">
        <v>554400</v>
      </c>
      <c r="C196">
        <v>698400</v>
      </c>
      <c r="D196">
        <v>36900</v>
      </c>
      <c r="E196">
        <f t="shared" si="12"/>
        <v>2.9454022988505746E-2</v>
      </c>
      <c r="F196">
        <f t="shared" si="13"/>
        <v>0.97054597701149425</v>
      </c>
      <c r="I196">
        <v>5400</v>
      </c>
      <c r="J196">
        <f t="shared" si="14"/>
        <v>42300</v>
      </c>
      <c r="K196">
        <f t="shared" si="15"/>
        <v>0.96623563218390807</v>
      </c>
    </row>
    <row r="197" spans="1:11">
      <c r="A197">
        <v>767</v>
      </c>
      <c r="B197">
        <v>608400</v>
      </c>
      <c r="C197">
        <v>549000</v>
      </c>
      <c r="D197">
        <v>219600</v>
      </c>
      <c r="E197">
        <f t="shared" si="12"/>
        <v>0.18973561430793157</v>
      </c>
      <c r="F197">
        <f t="shared" si="13"/>
        <v>0.81026438569206838</v>
      </c>
      <c r="I197">
        <v>201600</v>
      </c>
      <c r="J197">
        <f t="shared" si="14"/>
        <v>421200</v>
      </c>
      <c r="K197">
        <f t="shared" si="15"/>
        <v>0.63608087091757382</v>
      </c>
    </row>
    <row r="198" spans="1:11">
      <c r="A198">
        <v>768</v>
      </c>
      <c r="B198">
        <v>843300</v>
      </c>
      <c r="C198">
        <v>787500</v>
      </c>
      <c r="D198">
        <v>22500</v>
      </c>
      <c r="E198">
        <f t="shared" si="12"/>
        <v>1.379690949227373E-2</v>
      </c>
      <c r="F198">
        <f t="shared" si="13"/>
        <v>0.98620309050772625</v>
      </c>
      <c r="I198">
        <v>70200</v>
      </c>
      <c r="J198">
        <f t="shared" si="14"/>
        <v>92700</v>
      </c>
      <c r="K198">
        <f t="shared" si="15"/>
        <v>0.94315673289183222</v>
      </c>
    </row>
    <row r="199" spans="1:11">
      <c r="A199">
        <v>769</v>
      </c>
      <c r="B199">
        <v>762300</v>
      </c>
      <c r="C199">
        <v>548100</v>
      </c>
      <c r="D199">
        <v>378900</v>
      </c>
      <c r="E199">
        <f t="shared" si="12"/>
        <v>0.28914835164835168</v>
      </c>
      <c r="F199">
        <f t="shared" si="13"/>
        <v>0.71085164835164827</v>
      </c>
      <c r="I199">
        <v>0</v>
      </c>
      <c r="J199">
        <f t="shared" si="14"/>
        <v>378900</v>
      </c>
      <c r="K199">
        <f t="shared" si="15"/>
        <v>0.71085164835164827</v>
      </c>
    </row>
    <row r="200" spans="1:11">
      <c r="A200">
        <v>772</v>
      </c>
      <c r="B200">
        <v>1072800</v>
      </c>
      <c r="C200">
        <v>887400</v>
      </c>
      <c r="D200">
        <v>773100</v>
      </c>
      <c r="E200">
        <f t="shared" si="12"/>
        <v>0.39439853076216713</v>
      </c>
      <c r="F200">
        <f t="shared" si="13"/>
        <v>0.60560146923783287</v>
      </c>
      <c r="I200">
        <v>42300</v>
      </c>
      <c r="J200">
        <f t="shared" si="14"/>
        <v>815400</v>
      </c>
      <c r="K200">
        <f t="shared" si="15"/>
        <v>0.58402203856749313</v>
      </c>
    </row>
    <row r="201" spans="1:11">
      <c r="A201">
        <v>774</v>
      </c>
      <c r="B201">
        <v>585000</v>
      </c>
      <c r="C201">
        <v>935100</v>
      </c>
      <c r="D201">
        <v>548100</v>
      </c>
      <c r="E201">
        <f t="shared" si="12"/>
        <v>0.36056838365896982</v>
      </c>
      <c r="F201">
        <f t="shared" si="13"/>
        <v>0.63943161634103018</v>
      </c>
      <c r="I201">
        <v>84600</v>
      </c>
      <c r="J201">
        <f t="shared" si="14"/>
        <v>632700</v>
      </c>
      <c r="K201">
        <f t="shared" si="15"/>
        <v>0.58377738306690352</v>
      </c>
    </row>
    <row r="202" spans="1:11">
      <c r="A202">
        <v>776</v>
      </c>
      <c r="B202">
        <v>873900</v>
      </c>
      <c r="C202">
        <v>679500</v>
      </c>
      <c r="D202">
        <v>225900</v>
      </c>
      <c r="E202">
        <f t="shared" si="12"/>
        <v>0.14542294322132096</v>
      </c>
      <c r="F202">
        <f t="shared" si="13"/>
        <v>0.85457705677867901</v>
      </c>
      <c r="I202">
        <v>169200</v>
      </c>
      <c r="J202">
        <f t="shared" si="14"/>
        <v>395100</v>
      </c>
      <c r="K202">
        <f t="shared" si="15"/>
        <v>0.74565469293163389</v>
      </c>
    </row>
    <row r="203" spans="1:11">
      <c r="A203">
        <v>777</v>
      </c>
      <c r="B203">
        <v>439200</v>
      </c>
      <c r="C203">
        <v>360900</v>
      </c>
      <c r="D203">
        <v>19800</v>
      </c>
      <c r="E203">
        <f t="shared" si="12"/>
        <v>2.4746906636670417E-2</v>
      </c>
      <c r="F203">
        <f t="shared" si="13"/>
        <v>0.97525309336332955</v>
      </c>
      <c r="I203">
        <v>194400</v>
      </c>
      <c r="J203">
        <f t="shared" si="14"/>
        <v>214200</v>
      </c>
      <c r="K203">
        <f t="shared" si="15"/>
        <v>0.73228346456692917</v>
      </c>
    </row>
    <row r="204" spans="1:11">
      <c r="A204">
        <v>778</v>
      </c>
      <c r="B204">
        <v>1712700</v>
      </c>
      <c r="C204">
        <v>1452600</v>
      </c>
      <c r="D204">
        <v>0</v>
      </c>
      <c r="E204">
        <f t="shared" si="12"/>
        <v>0</v>
      </c>
      <c r="F204">
        <f t="shared" si="13"/>
        <v>1</v>
      </c>
      <c r="I204">
        <v>126000</v>
      </c>
      <c r="J204">
        <f t="shared" si="14"/>
        <v>126000</v>
      </c>
      <c r="K204">
        <f t="shared" si="15"/>
        <v>0.96019334660221778</v>
      </c>
    </row>
    <row r="205" spans="1:11">
      <c r="A205">
        <v>779</v>
      </c>
      <c r="B205">
        <v>3041100</v>
      </c>
      <c r="C205">
        <v>2857500</v>
      </c>
      <c r="D205">
        <v>1161900</v>
      </c>
      <c r="E205">
        <f t="shared" si="12"/>
        <v>0.19697894415624045</v>
      </c>
      <c r="F205">
        <f t="shared" si="13"/>
        <v>0.8030210558437596</v>
      </c>
      <c r="I205">
        <v>328500</v>
      </c>
      <c r="J205">
        <f t="shared" si="14"/>
        <v>1490400</v>
      </c>
      <c r="K205">
        <f t="shared" si="15"/>
        <v>0.74732987488556613</v>
      </c>
    </row>
    <row r="206" spans="1:11">
      <c r="A206">
        <v>780</v>
      </c>
      <c r="B206">
        <v>3177900</v>
      </c>
      <c r="C206">
        <v>3672000</v>
      </c>
      <c r="D206">
        <v>531900</v>
      </c>
      <c r="E206">
        <f t="shared" si="12"/>
        <v>7.7650768624359476E-2</v>
      </c>
      <c r="F206">
        <f t="shared" si="13"/>
        <v>0.92234923137564051</v>
      </c>
      <c r="I206">
        <v>86400</v>
      </c>
      <c r="J206">
        <f t="shared" si="14"/>
        <v>618300</v>
      </c>
      <c r="K206">
        <f t="shared" si="15"/>
        <v>0.90973590855340958</v>
      </c>
    </row>
    <row r="207" spans="1:11">
      <c r="A207">
        <v>781</v>
      </c>
      <c r="B207">
        <v>3760200</v>
      </c>
      <c r="C207">
        <v>4641300</v>
      </c>
      <c r="D207">
        <v>2641500</v>
      </c>
      <c r="E207">
        <f t="shared" si="12"/>
        <v>0.31440814140332085</v>
      </c>
      <c r="F207">
        <f t="shared" si="13"/>
        <v>0.68559185859667915</v>
      </c>
      <c r="I207">
        <v>78300</v>
      </c>
      <c r="J207">
        <f t="shared" si="14"/>
        <v>2719800</v>
      </c>
      <c r="K207">
        <f t="shared" si="15"/>
        <v>0.67627209426888057</v>
      </c>
    </row>
    <row r="208" spans="1:11">
      <c r="A208">
        <v>782</v>
      </c>
      <c r="B208">
        <v>874800</v>
      </c>
      <c r="C208">
        <v>820800</v>
      </c>
      <c r="D208">
        <v>78300</v>
      </c>
      <c r="E208">
        <f t="shared" si="12"/>
        <v>4.6178343949044583E-2</v>
      </c>
      <c r="F208">
        <f t="shared" si="13"/>
        <v>0.95382165605095537</v>
      </c>
      <c r="I208">
        <v>226800</v>
      </c>
      <c r="J208">
        <f t="shared" si="14"/>
        <v>305100</v>
      </c>
      <c r="K208">
        <f t="shared" si="15"/>
        <v>0.82006369426751591</v>
      </c>
    </row>
    <row r="209" spans="1:11">
      <c r="A209">
        <v>783</v>
      </c>
      <c r="B209">
        <v>907200</v>
      </c>
      <c r="C209">
        <v>826200</v>
      </c>
      <c r="D209">
        <v>69300</v>
      </c>
      <c r="E209">
        <f t="shared" si="12"/>
        <v>3.9979231568016617E-2</v>
      </c>
      <c r="F209">
        <f t="shared" si="13"/>
        <v>0.96002076843198336</v>
      </c>
      <c r="I209">
        <v>198900</v>
      </c>
      <c r="J209">
        <f t="shared" si="14"/>
        <v>268200</v>
      </c>
      <c r="K209">
        <f t="shared" si="15"/>
        <v>0.8452751817237798</v>
      </c>
    </row>
    <row r="210" spans="1:11">
      <c r="A210">
        <v>785</v>
      </c>
      <c r="B210">
        <v>2858400</v>
      </c>
      <c r="C210">
        <v>2421900</v>
      </c>
      <c r="D210">
        <v>1566900</v>
      </c>
      <c r="E210">
        <f t="shared" si="12"/>
        <v>0.29674450315322992</v>
      </c>
      <c r="F210">
        <f t="shared" si="13"/>
        <v>0.70325549684677013</v>
      </c>
      <c r="I210">
        <v>170100</v>
      </c>
      <c r="J210">
        <f t="shared" si="14"/>
        <v>1737000</v>
      </c>
      <c r="K210">
        <f t="shared" si="15"/>
        <v>0.67104141810124429</v>
      </c>
    </row>
    <row r="211" spans="1:11">
      <c r="A211">
        <v>787</v>
      </c>
      <c r="B211">
        <v>953100</v>
      </c>
      <c r="C211">
        <v>1347300</v>
      </c>
      <c r="D211">
        <v>696600</v>
      </c>
      <c r="E211">
        <f t="shared" si="12"/>
        <v>0.30281690140845069</v>
      </c>
      <c r="F211">
        <f t="shared" si="13"/>
        <v>0.69718309859154926</v>
      </c>
      <c r="I211">
        <v>113400</v>
      </c>
      <c r="J211">
        <f t="shared" si="14"/>
        <v>810000</v>
      </c>
      <c r="K211">
        <f t="shared" si="15"/>
        <v>0.647887323943662</v>
      </c>
    </row>
    <row r="212" spans="1:11">
      <c r="A212">
        <v>788</v>
      </c>
      <c r="B212">
        <v>1892700</v>
      </c>
      <c r="C212">
        <v>1579500</v>
      </c>
      <c r="D212">
        <v>641700</v>
      </c>
      <c r="E212">
        <f t="shared" si="12"/>
        <v>0.18481078278900984</v>
      </c>
      <c r="F212">
        <f t="shared" si="13"/>
        <v>0.81518921721099014</v>
      </c>
      <c r="I212">
        <v>10800</v>
      </c>
      <c r="J212">
        <f t="shared" si="14"/>
        <v>652500</v>
      </c>
      <c r="K212">
        <f t="shared" si="15"/>
        <v>0.81207879730430277</v>
      </c>
    </row>
    <row r="213" spans="1:11">
      <c r="A213">
        <v>789</v>
      </c>
      <c r="B213">
        <v>772200</v>
      </c>
      <c r="C213">
        <v>549000</v>
      </c>
      <c r="D213">
        <v>1800</v>
      </c>
      <c r="E213">
        <f t="shared" si="12"/>
        <v>1.3623978201634877E-3</v>
      </c>
      <c r="F213">
        <f t="shared" si="13"/>
        <v>0.99863760217983655</v>
      </c>
      <c r="I213">
        <v>237600</v>
      </c>
      <c r="J213">
        <f t="shared" si="14"/>
        <v>239400</v>
      </c>
      <c r="K213">
        <f t="shared" si="15"/>
        <v>0.81880108991825606</v>
      </c>
    </row>
    <row r="214" spans="1:11">
      <c r="A214">
        <v>790</v>
      </c>
      <c r="B214">
        <v>1675800</v>
      </c>
      <c r="C214">
        <v>1734300</v>
      </c>
      <c r="D214">
        <v>136800</v>
      </c>
      <c r="E214">
        <f t="shared" si="12"/>
        <v>4.0116125626814464E-2</v>
      </c>
      <c r="F214">
        <f t="shared" si="13"/>
        <v>0.95988387437318556</v>
      </c>
      <c r="I214">
        <v>210600</v>
      </c>
      <c r="J214">
        <f t="shared" si="14"/>
        <v>347400</v>
      </c>
      <c r="K214">
        <f t="shared" si="15"/>
        <v>0.89812615465822121</v>
      </c>
    </row>
    <row r="215" spans="1:11">
      <c r="A215">
        <v>791</v>
      </c>
      <c r="B215">
        <v>707400</v>
      </c>
      <c r="C215">
        <v>793800</v>
      </c>
      <c r="D215">
        <v>0</v>
      </c>
      <c r="E215">
        <f t="shared" si="12"/>
        <v>0</v>
      </c>
      <c r="F215">
        <f t="shared" si="13"/>
        <v>1</v>
      </c>
      <c r="I215">
        <v>241200</v>
      </c>
      <c r="J215">
        <f t="shared" si="14"/>
        <v>241200</v>
      </c>
      <c r="K215">
        <f t="shared" si="15"/>
        <v>0.83932853717026379</v>
      </c>
    </row>
    <row r="216" spans="1:11">
      <c r="A216">
        <v>794</v>
      </c>
      <c r="B216">
        <v>1062000</v>
      </c>
      <c r="C216">
        <v>962100</v>
      </c>
      <c r="D216">
        <v>244800</v>
      </c>
      <c r="E216">
        <f t="shared" si="12"/>
        <v>0.12094264117385504</v>
      </c>
      <c r="F216">
        <f t="shared" si="13"/>
        <v>0.879057358826145</v>
      </c>
      <c r="I216">
        <v>203400</v>
      </c>
      <c r="J216">
        <f t="shared" si="14"/>
        <v>448200</v>
      </c>
      <c r="K216">
        <f t="shared" si="15"/>
        <v>0.77856825255669193</v>
      </c>
    </row>
    <row r="217" spans="1:11">
      <c r="A217">
        <v>797</v>
      </c>
      <c r="B217">
        <v>2064600</v>
      </c>
      <c r="C217">
        <v>1893600</v>
      </c>
      <c r="D217">
        <v>486900</v>
      </c>
      <c r="E217">
        <f t="shared" si="12"/>
        <v>0.12301045929968167</v>
      </c>
      <c r="F217">
        <f t="shared" si="13"/>
        <v>0.87698954070031832</v>
      </c>
      <c r="I217">
        <v>99900</v>
      </c>
      <c r="J217">
        <f t="shared" si="14"/>
        <v>586800</v>
      </c>
      <c r="K217">
        <f t="shared" si="15"/>
        <v>0.8517507958162801</v>
      </c>
    </row>
    <row r="218" spans="1:11">
      <c r="A218">
        <v>798</v>
      </c>
      <c r="B218">
        <v>2170800</v>
      </c>
      <c r="C218">
        <v>3084300</v>
      </c>
      <c r="D218">
        <v>308700</v>
      </c>
      <c r="E218">
        <f t="shared" si="12"/>
        <v>5.8742935434149685E-2</v>
      </c>
      <c r="F218">
        <f t="shared" si="13"/>
        <v>0.94125706456585034</v>
      </c>
      <c r="I218">
        <v>109800</v>
      </c>
      <c r="J218">
        <f t="shared" si="14"/>
        <v>418500</v>
      </c>
      <c r="K218">
        <f t="shared" si="15"/>
        <v>0.92036307586915567</v>
      </c>
    </row>
    <row r="219" spans="1:11">
      <c r="A219">
        <v>804</v>
      </c>
      <c r="B219">
        <v>2731500</v>
      </c>
      <c r="C219">
        <v>2456100</v>
      </c>
      <c r="D219">
        <v>267300</v>
      </c>
      <c r="E219">
        <f t="shared" si="12"/>
        <v>5.1526717557251911E-2</v>
      </c>
      <c r="F219">
        <f t="shared" si="13"/>
        <v>0.94847328244274809</v>
      </c>
      <c r="I219">
        <v>197100</v>
      </c>
      <c r="J219">
        <f t="shared" si="14"/>
        <v>464400</v>
      </c>
      <c r="K219">
        <f t="shared" si="15"/>
        <v>0.91047883414295627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43B8-80FD-4413-934D-7C31B8D9FC93}">
  <dimension ref="A1:AQ227"/>
  <sheetViews>
    <sheetView workbookViewId="0">
      <selection activeCell="G38" sqref="G38"/>
    </sheetView>
  </sheetViews>
  <sheetFormatPr defaultRowHeight="13.5"/>
  <cols>
    <col min="1" max="1" width="10.25" customWidth="1"/>
    <col min="3" max="3" width="10.25" bestFit="1" customWidth="1"/>
    <col min="5" max="7" width="10.25" bestFit="1" customWidth="1"/>
    <col min="8" max="26" width="13.125" bestFit="1" customWidth="1"/>
    <col min="27" max="28" width="10.25" bestFit="1" customWidth="1"/>
    <col min="29" max="33" width="13.125" bestFit="1" customWidth="1"/>
    <col min="34" max="37" width="13.125" customWidth="1"/>
    <col min="38" max="43" width="9.5" customWidth="1"/>
  </cols>
  <sheetData>
    <row r="1" spans="1:43">
      <c r="A1" t="s">
        <v>86</v>
      </c>
      <c r="B1" t="s">
        <v>87</v>
      </c>
      <c r="C1" t="s">
        <v>88</v>
      </c>
      <c r="D1" t="s">
        <v>2</v>
      </c>
      <c r="E1" t="s">
        <v>89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90</v>
      </c>
      <c r="V1" t="s">
        <v>91</v>
      </c>
      <c r="W1" t="s">
        <v>92</v>
      </c>
      <c r="X1" t="s">
        <v>93</v>
      </c>
      <c r="Y1" t="s">
        <v>94</v>
      </c>
      <c r="Z1" t="s">
        <v>95</v>
      </c>
      <c r="AA1" t="s">
        <v>96</v>
      </c>
      <c r="AB1" t="s">
        <v>97</v>
      </c>
      <c r="AC1" t="s">
        <v>98</v>
      </c>
      <c r="AD1" t="s">
        <v>99</v>
      </c>
      <c r="AE1" t="s">
        <v>100</v>
      </c>
      <c r="AF1" t="s">
        <v>101</v>
      </c>
      <c r="AG1" t="s">
        <v>102</v>
      </c>
      <c r="AH1" t="s">
        <v>103</v>
      </c>
      <c r="AI1" t="s">
        <v>104</v>
      </c>
      <c r="AJ1" t="s">
        <v>105</v>
      </c>
      <c r="AK1" t="s">
        <v>106</v>
      </c>
      <c r="AL1" t="s">
        <v>107</v>
      </c>
      <c r="AM1" t="s">
        <v>108</v>
      </c>
      <c r="AN1" t="s">
        <v>109</v>
      </c>
      <c r="AO1" t="s">
        <v>110</v>
      </c>
      <c r="AP1" t="s">
        <v>111</v>
      </c>
      <c r="AQ1" t="s">
        <v>112</v>
      </c>
    </row>
    <row r="2" spans="1:43">
      <c r="A2">
        <v>15</v>
      </c>
      <c r="B2" t="s">
        <v>113</v>
      </c>
      <c r="C2">
        <v>210</v>
      </c>
      <c r="D2" t="s">
        <v>114</v>
      </c>
      <c r="E2">
        <v>2002</v>
      </c>
      <c r="F2">
        <v>1</v>
      </c>
      <c r="G2">
        <v>1.003261883</v>
      </c>
      <c r="H2">
        <v>0.99440820100000005</v>
      </c>
      <c r="I2">
        <v>0.92917055000000004</v>
      </c>
      <c r="J2">
        <v>0.80382106200000003</v>
      </c>
      <c r="L2">
        <v>0.71388629999999997</v>
      </c>
      <c r="M2">
        <v>0.58527492999999997</v>
      </c>
      <c r="N2">
        <v>0.30987884399999999</v>
      </c>
      <c r="O2" s="24">
        <v>0.26607642100000001</v>
      </c>
    </row>
    <row r="3" spans="1:43">
      <c r="A3">
        <v>44</v>
      </c>
      <c r="B3" t="s">
        <v>113</v>
      </c>
      <c r="C3">
        <v>200</v>
      </c>
      <c r="D3" t="s">
        <v>114</v>
      </c>
      <c r="E3">
        <v>2000</v>
      </c>
      <c r="F3">
        <v>1</v>
      </c>
      <c r="G3">
        <v>0.46202531600000002</v>
      </c>
      <c r="H3">
        <v>0.40981012700000002</v>
      </c>
      <c r="I3">
        <v>0.57753164599999995</v>
      </c>
      <c r="J3">
        <v>0.129746835</v>
      </c>
      <c r="K3" s="24">
        <v>0.142405063</v>
      </c>
    </row>
    <row r="4" spans="1:43">
      <c r="A4" s="24">
        <v>76</v>
      </c>
      <c r="B4" t="s">
        <v>113</v>
      </c>
      <c r="C4">
        <v>200</v>
      </c>
      <c r="D4" t="s">
        <v>114</v>
      </c>
      <c r="E4">
        <v>1997</v>
      </c>
      <c r="F4">
        <v>1</v>
      </c>
      <c r="G4">
        <v>0.68037999999999998</v>
      </c>
      <c r="H4">
        <v>0.43986999999999998</v>
      </c>
      <c r="I4">
        <v>0.27215</v>
      </c>
      <c r="J4">
        <v>0.19303999999999999</v>
      </c>
      <c r="K4">
        <v>0.13924</v>
      </c>
      <c r="L4">
        <v>0.16772000000000001</v>
      </c>
      <c r="M4">
        <v>0.13924</v>
      </c>
      <c r="N4">
        <v>0.19936999999999999</v>
      </c>
      <c r="O4">
        <v>0.11391999999999999</v>
      </c>
      <c r="P4">
        <v>0.13291</v>
      </c>
      <c r="Q4">
        <v>0.24684</v>
      </c>
      <c r="R4">
        <v>0.25</v>
      </c>
      <c r="S4">
        <v>0.14557</v>
      </c>
      <c r="T4">
        <v>0.30063000000000001</v>
      </c>
      <c r="U4">
        <v>8.8609999999999994E-2</v>
      </c>
      <c r="V4">
        <v>0.13291</v>
      </c>
      <c r="W4">
        <v>0.25</v>
      </c>
      <c r="X4">
        <v>8.5440000000000002E-2</v>
      </c>
      <c r="Y4">
        <v>8.5440000000000002E-2</v>
      </c>
      <c r="Z4">
        <v>0.25316</v>
      </c>
      <c r="AA4">
        <v>0.30063000000000001</v>
      </c>
      <c r="AB4">
        <v>0.33861000000000002</v>
      </c>
      <c r="AC4">
        <v>0.14557</v>
      </c>
      <c r="AD4">
        <v>9.1770000000000004E-2</v>
      </c>
      <c r="AE4">
        <v>0.12975</v>
      </c>
    </row>
    <row r="5" spans="1:43">
      <c r="A5">
        <v>86</v>
      </c>
      <c r="B5" t="s">
        <v>113</v>
      </c>
      <c r="C5">
        <v>220</v>
      </c>
      <c r="D5" t="s">
        <v>114</v>
      </c>
      <c r="E5">
        <v>1987</v>
      </c>
      <c r="F5">
        <v>1</v>
      </c>
      <c r="G5">
        <v>1.0619047619999999</v>
      </c>
      <c r="H5">
        <v>0.88809523800000001</v>
      </c>
      <c r="I5">
        <v>0.71666666700000003</v>
      </c>
      <c r="J5">
        <v>0.70476190500000002</v>
      </c>
      <c r="K5">
        <v>0.69285714300000001</v>
      </c>
      <c r="L5">
        <v>0.311904762</v>
      </c>
      <c r="M5">
        <v>0.21666666700000001</v>
      </c>
      <c r="N5">
        <v>0.226190476</v>
      </c>
      <c r="O5">
        <v>0.20952381</v>
      </c>
      <c r="P5" s="24">
        <v>0.17380952399999999</v>
      </c>
    </row>
    <row r="6" spans="1:43">
      <c r="A6">
        <v>118</v>
      </c>
      <c r="B6" t="s">
        <v>113</v>
      </c>
      <c r="C6">
        <v>260</v>
      </c>
      <c r="D6" t="s">
        <v>114</v>
      </c>
      <c r="E6">
        <v>2015</v>
      </c>
      <c r="F6">
        <v>1</v>
      </c>
      <c r="G6">
        <v>0.55249999999999999</v>
      </c>
      <c r="H6">
        <v>0.61750000000000005</v>
      </c>
      <c r="I6">
        <v>0.67500000000000004</v>
      </c>
      <c r="J6">
        <v>0.80500000000000005</v>
      </c>
      <c r="K6">
        <v>0.6</v>
      </c>
      <c r="L6">
        <v>0.48249999999999998</v>
      </c>
      <c r="M6" s="24">
        <v>0.39500000000000002</v>
      </c>
    </row>
    <row r="7" spans="1:43">
      <c r="A7">
        <v>124</v>
      </c>
      <c r="B7" t="s">
        <v>113</v>
      </c>
      <c r="C7">
        <v>200</v>
      </c>
      <c r="D7" t="s">
        <v>114</v>
      </c>
      <c r="E7">
        <v>1989</v>
      </c>
      <c r="F7">
        <v>1</v>
      </c>
      <c r="G7">
        <v>1.059748428</v>
      </c>
      <c r="H7">
        <v>0.96016771499999998</v>
      </c>
      <c r="I7">
        <v>0.85534591199999999</v>
      </c>
      <c r="J7">
        <v>0.81551362699999996</v>
      </c>
      <c r="K7">
        <v>0.68029350099999997</v>
      </c>
      <c r="L7">
        <v>0.67505241100000002</v>
      </c>
      <c r="M7">
        <v>0.57232704400000001</v>
      </c>
      <c r="N7">
        <v>0.63102725400000004</v>
      </c>
      <c r="O7">
        <v>0.63731656199999998</v>
      </c>
      <c r="P7">
        <v>0.74423480099999995</v>
      </c>
      <c r="Q7">
        <v>0.44444444399999999</v>
      </c>
      <c r="R7">
        <v>0.38050314499999999</v>
      </c>
      <c r="S7">
        <v>0.28721173999999999</v>
      </c>
      <c r="T7">
        <v>0.34486373199999998</v>
      </c>
      <c r="U7">
        <v>0.27987421400000001</v>
      </c>
      <c r="V7" s="24">
        <v>0.25262054499999997</v>
      </c>
    </row>
    <row r="8" spans="1:43">
      <c r="A8">
        <v>125</v>
      </c>
      <c r="B8" t="s">
        <v>113</v>
      </c>
      <c r="C8">
        <v>200</v>
      </c>
      <c r="D8" t="s">
        <v>114</v>
      </c>
      <c r="E8">
        <v>1996</v>
      </c>
      <c r="F8">
        <v>1</v>
      </c>
      <c r="G8">
        <v>1.1145161290000001</v>
      </c>
      <c r="H8">
        <v>1.108064516</v>
      </c>
      <c r="I8">
        <v>0.84677419399999998</v>
      </c>
      <c r="J8">
        <v>0.66129032300000001</v>
      </c>
      <c r="K8">
        <v>0.65967741899999999</v>
      </c>
      <c r="L8">
        <v>0.570967742</v>
      </c>
      <c r="M8">
        <v>0.48064516099999999</v>
      </c>
      <c r="N8">
        <v>0.48709677400000001</v>
      </c>
      <c r="O8">
        <v>0.47096774200000002</v>
      </c>
      <c r="P8">
        <v>0.45645161299999998</v>
      </c>
      <c r="Q8">
        <v>0.52741935500000003</v>
      </c>
      <c r="R8">
        <v>0.51774193499999999</v>
      </c>
      <c r="S8">
        <v>0.43225806500000002</v>
      </c>
      <c r="T8">
        <v>0.45806451599999998</v>
      </c>
      <c r="W8">
        <v>0.44838709700000001</v>
      </c>
      <c r="X8">
        <v>0.40645161299999999</v>
      </c>
      <c r="Y8">
        <v>0.47580645199999999</v>
      </c>
      <c r="Z8">
        <v>0.40322580600000002</v>
      </c>
      <c r="AA8">
        <v>0.41774193500000001</v>
      </c>
      <c r="AB8">
        <v>0.251612903</v>
      </c>
      <c r="AC8">
        <v>0.29193548400000002</v>
      </c>
      <c r="AD8">
        <v>0.30483871000000001</v>
      </c>
      <c r="AE8">
        <v>0.23709677400000001</v>
      </c>
      <c r="AF8" s="24">
        <v>0.28064516099999998</v>
      </c>
    </row>
    <row r="9" spans="1:43">
      <c r="A9" s="29">
        <v>127</v>
      </c>
      <c r="B9" t="s">
        <v>115</v>
      </c>
      <c r="C9">
        <v>200</v>
      </c>
      <c r="D9" t="s">
        <v>114</v>
      </c>
      <c r="E9">
        <v>1987</v>
      </c>
      <c r="F9">
        <v>1</v>
      </c>
      <c r="G9">
        <v>0.31229000000000001</v>
      </c>
      <c r="H9">
        <v>0.25248999999999999</v>
      </c>
      <c r="I9">
        <v>0.27575</v>
      </c>
      <c r="J9">
        <v>0.37874000000000002</v>
      </c>
      <c r="K9">
        <v>0.36213000000000001</v>
      </c>
      <c r="L9">
        <v>0.28904000000000002</v>
      </c>
      <c r="M9">
        <v>0.34883999999999998</v>
      </c>
      <c r="O9">
        <v>0.43189</v>
      </c>
      <c r="P9">
        <v>0.57142999999999999</v>
      </c>
      <c r="Q9">
        <v>0.48837000000000003</v>
      </c>
      <c r="R9">
        <v>0.19269</v>
      </c>
      <c r="S9">
        <v>0.21262</v>
      </c>
      <c r="T9">
        <v>0.17607999999999999</v>
      </c>
      <c r="U9">
        <v>0.19933999999999999</v>
      </c>
      <c r="V9">
        <v>0.1794</v>
      </c>
      <c r="W9">
        <v>0.26246000000000003</v>
      </c>
      <c r="X9">
        <v>0.25248999999999999</v>
      </c>
      <c r="Y9">
        <v>0.22259000000000001</v>
      </c>
      <c r="Z9">
        <v>0.24917</v>
      </c>
      <c r="AA9">
        <v>0.16611000000000001</v>
      </c>
      <c r="AB9">
        <v>0.13952999999999999</v>
      </c>
      <c r="AC9">
        <v>0.12956999999999999</v>
      </c>
      <c r="AD9">
        <v>6.6449999999999995E-2</v>
      </c>
      <c r="AE9">
        <v>7.3090000000000002E-2</v>
      </c>
      <c r="AF9">
        <v>5.9799999999999999E-2</v>
      </c>
      <c r="AG9">
        <v>4.3189999999999999E-2</v>
      </c>
      <c r="AH9">
        <v>0.12625</v>
      </c>
      <c r="AI9">
        <v>0.16944000000000001</v>
      </c>
      <c r="AJ9">
        <v>0.14618</v>
      </c>
      <c r="AK9">
        <v>6.6449999999999995E-2</v>
      </c>
      <c r="AL9">
        <v>0.10299</v>
      </c>
      <c r="AM9">
        <v>7.3090000000000002E-2</v>
      </c>
      <c r="AN9">
        <v>9.3020000000000005E-2</v>
      </c>
      <c r="AO9">
        <v>6.3119999999999996E-2</v>
      </c>
    </row>
    <row r="10" spans="1:43">
      <c r="A10" s="29">
        <v>128</v>
      </c>
      <c r="B10" t="s">
        <v>115</v>
      </c>
      <c r="C10">
        <v>200</v>
      </c>
      <c r="D10" t="s">
        <v>114</v>
      </c>
      <c r="E10">
        <v>1996</v>
      </c>
      <c r="F10">
        <v>1</v>
      </c>
      <c r="G10">
        <v>0.53461999999999998</v>
      </c>
      <c r="H10">
        <v>0.29791000000000001</v>
      </c>
      <c r="I10">
        <v>0.19001999999999999</v>
      </c>
      <c r="J10">
        <v>0.16747000000000001</v>
      </c>
      <c r="K10">
        <v>0.219</v>
      </c>
      <c r="L10">
        <v>0.34300000000000003</v>
      </c>
      <c r="M10">
        <v>7.8899999999999998E-2</v>
      </c>
      <c r="N10">
        <v>9.9839999999999998E-2</v>
      </c>
      <c r="O10">
        <v>0.13205</v>
      </c>
      <c r="P10">
        <v>9.9839999999999998E-2</v>
      </c>
      <c r="Q10">
        <v>0.22544</v>
      </c>
      <c r="R10">
        <v>0.14654</v>
      </c>
      <c r="S10">
        <v>0.13205</v>
      </c>
      <c r="T10">
        <v>0.21095</v>
      </c>
      <c r="U10">
        <v>8.2129999999999995E-2</v>
      </c>
      <c r="V10">
        <v>0.12720999999999999</v>
      </c>
      <c r="W10">
        <v>9.6619999999999998E-2</v>
      </c>
      <c r="X10">
        <v>7.8899999999999998E-2</v>
      </c>
    </row>
    <row r="11" spans="1:43">
      <c r="A11" s="29">
        <v>129</v>
      </c>
      <c r="B11" t="s">
        <v>115</v>
      </c>
      <c r="C11">
        <v>260</v>
      </c>
      <c r="D11" t="s">
        <v>114</v>
      </c>
      <c r="E11">
        <v>1993</v>
      </c>
      <c r="F11">
        <v>1</v>
      </c>
      <c r="G11">
        <v>0.29601</v>
      </c>
      <c r="H11">
        <v>0.32040000000000002</v>
      </c>
      <c r="I11">
        <v>0.19733999999999999</v>
      </c>
      <c r="J11">
        <v>0.26163999999999998</v>
      </c>
      <c r="K11">
        <v>0.34034999999999999</v>
      </c>
      <c r="L11">
        <v>0.25830999999999998</v>
      </c>
      <c r="M11">
        <v>0.18736</v>
      </c>
      <c r="N11">
        <v>0.26274999999999998</v>
      </c>
      <c r="O11">
        <v>0.14191000000000001</v>
      </c>
      <c r="P11">
        <v>0.12417</v>
      </c>
      <c r="Q11">
        <v>0.20952999999999999</v>
      </c>
      <c r="R11">
        <v>0.23724999999999999</v>
      </c>
      <c r="S11">
        <v>0.11752</v>
      </c>
      <c r="T11">
        <v>0.25830999999999998</v>
      </c>
      <c r="U11">
        <v>0.29047000000000001</v>
      </c>
      <c r="V11">
        <v>0.24723000000000001</v>
      </c>
      <c r="W11">
        <v>0.27827000000000002</v>
      </c>
      <c r="X11">
        <v>0.23613999999999999</v>
      </c>
      <c r="Y11">
        <v>0.14191000000000001</v>
      </c>
      <c r="Z11">
        <v>0.17183999999999999</v>
      </c>
      <c r="AA11">
        <v>0.18736</v>
      </c>
      <c r="AB11">
        <v>0.27161999999999997</v>
      </c>
      <c r="AC11">
        <v>0.30487999999999998</v>
      </c>
      <c r="AD11">
        <v>0.30487999999999998</v>
      </c>
      <c r="AE11">
        <v>0.19069</v>
      </c>
      <c r="AF11">
        <v>0.38136999999999999</v>
      </c>
      <c r="AG11">
        <v>0.32927000000000001</v>
      </c>
      <c r="AH11">
        <v>0.21951000000000001</v>
      </c>
      <c r="AI11">
        <v>0.18736</v>
      </c>
    </row>
    <row r="12" spans="1:43">
      <c r="A12" s="29">
        <v>160</v>
      </c>
      <c r="B12" t="s">
        <v>116</v>
      </c>
      <c r="C12">
        <v>600</v>
      </c>
      <c r="D12" t="s">
        <v>114</v>
      </c>
      <c r="E12">
        <v>1993</v>
      </c>
      <c r="F12">
        <v>1</v>
      </c>
      <c r="G12">
        <v>0.75739000000000001</v>
      </c>
      <c r="H12">
        <v>0.51805999999999996</v>
      </c>
      <c r="I12">
        <v>0.32366</v>
      </c>
      <c r="J12">
        <v>0.27688000000000001</v>
      </c>
      <c r="K12">
        <v>0.27345999999999998</v>
      </c>
      <c r="L12">
        <v>0.16708999999999999</v>
      </c>
      <c r="M12">
        <v>9.443E-2</v>
      </c>
      <c r="N12">
        <v>7.6219999999999996E-2</v>
      </c>
      <c r="O12">
        <v>5.3469999999999997E-2</v>
      </c>
      <c r="P12">
        <v>7.8640000000000002E-2</v>
      </c>
      <c r="Q12">
        <v>8.8739999999999999E-2</v>
      </c>
      <c r="R12">
        <v>0.13311000000000001</v>
      </c>
      <c r="S12">
        <v>0.18672</v>
      </c>
      <c r="T12">
        <v>0.17136000000000001</v>
      </c>
      <c r="U12">
        <v>0.12898000000000001</v>
      </c>
      <c r="V12">
        <v>0.14918000000000001</v>
      </c>
      <c r="W12">
        <v>0.14774999999999999</v>
      </c>
    </row>
    <row r="13" spans="1:43">
      <c r="A13" s="30">
        <v>167</v>
      </c>
      <c r="B13" t="s">
        <v>113</v>
      </c>
      <c r="C13">
        <v>260</v>
      </c>
      <c r="D13" t="s">
        <v>114</v>
      </c>
      <c r="E13">
        <v>2013</v>
      </c>
      <c r="F13">
        <v>1</v>
      </c>
      <c r="G13">
        <v>0.84645669300000004</v>
      </c>
      <c r="H13">
        <v>0.85826771700000004</v>
      </c>
      <c r="I13">
        <v>0.77559055099999996</v>
      </c>
      <c r="K13">
        <v>0.30708661399999998</v>
      </c>
      <c r="L13">
        <v>0.25196850399999998</v>
      </c>
      <c r="M13">
        <v>0.271653543</v>
      </c>
      <c r="N13">
        <v>0.311023622</v>
      </c>
      <c r="O13">
        <v>0.30314960600000002</v>
      </c>
    </row>
    <row r="14" spans="1:43">
      <c r="A14" s="29">
        <v>202</v>
      </c>
      <c r="B14" t="s">
        <v>115</v>
      </c>
      <c r="C14" s="30">
        <v>400</v>
      </c>
      <c r="D14" t="s">
        <v>114</v>
      </c>
      <c r="E14">
        <v>1989</v>
      </c>
      <c r="F14">
        <v>1</v>
      </c>
      <c r="G14">
        <v>0.57626999999999995</v>
      </c>
      <c r="H14">
        <v>0.53164999999999996</v>
      </c>
      <c r="I14">
        <v>0.51390000000000002</v>
      </c>
      <c r="J14">
        <v>0.56481999999999999</v>
      </c>
      <c r="K14">
        <v>0.58187</v>
      </c>
      <c r="L14">
        <v>0.47488999999999998</v>
      </c>
      <c r="M14">
        <v>0.61363999999999996</v>
      </c>
      <c r="N14">
        <v>0.60313000000000005</v>
      </c>
      <c r="O14">
        <v>0.45293</v>
      </c>
      <c r="P14">
        <v>0.80752000000000002</v>
      </c>
      <c r="Q14">
        <v>0.69913999999999998</v>
      </c>
      <c r="R14">
        <v>0.65147999999999995</v>
      </c>
      <c r="S14">
        <v>0.43704999999999999</v>
      </c>
      <c r="T14">
        <v>0.36767</v>
      </c>
      <c r="U14">
        <v>0.40550999999999998</v>
      </c>
      <c r="V14">
        <v>0.35388999999999998</v>
      </c>
      <c r="W14">
        <v>0.60079000000000005</v>
      </c>
      <c r="X14">
        <v>0.45877000000000001</v>
      </c>
      <c r="Y14">
        <v>0.48657</v>
      </c>
      <c r="Z14">
        <v>0.48165999999999998</v>
      </c>
      <c r="AA14">
        <v>0.33123000000000002</v>
      </c>
      <c r="AB14">
        <v>0.45527000000000001</v>
      </c>
      <c r="AC14">
        <v>0.57135999999999998</v>
      </c>
      <c r="AD14">
        <v>0.47909000000000002</v>
      </c>
      <c r="AE14">
        <v>0.50268999999999997</v>
      </c>
      <c r="AF14">
        <v>0.50082000000000004</v>
      </c>
      <c r="AG14">
        <v>0.39896999999999999</v>
      </c>
      <c r="AH14">
        <v>0.61153999999999997</v>
      </c>
      <c r="AI14">
        <v>0.49193999999999999</v>
      </c>
      <c r="AJ14">
        <v>0.53469</v>
      </c>
      <c r="AK14">
        <v>0.50339</v>
      </c>
      <c r="AL14">
        <v>0.54332999999999998</v>
      </c>
      <c r="AM14">
        <v>0.60453000000000001</v>
      </c>
    </row>
    <row r="15" spans="1:43">
      <c r="A15">
        <v>205</v>
      </c>
      <c r="B15" t="s">
        <v>113</v>
      </c>
      <c r="C15">
        <v>200</v>
      </c>
      <c r="D15" t="s">
        <v>114</v>
      </c>
      <c r="E15">
        <v>2011</v>
      </c>
      <c r="F15">
        <v>1</v>
      </c>
      <c r="G15">
        <v>0.99860917900000001</v>
      </c>
      <c r="H15">
        <v>0.97357440900000003</v>
      </c>
      <c r="I15">
        <v>0.94993045899999995</v>
      </c>
      <c r="J15">
        <v>0.79415855400000002</v>
      </c>
      <c r="K15">
        <v>0.79554937400000003</v>
      </c>
      <c r="L15">
        <v>0.78442280900000005</v>
      </c>
      <c r="M15">
        <v>0.71349096000000001</v>
      </c>
      <c r="N15">
        <v>0.630041725</v>
      </c>
      <c r="O15">
        <v>0.57301808099999996</v>
      </c>
      <c r="P15">
        <v>0.56189151599999998</v>
      </c>
      <c r="Q15">
        <v>0.58275382499999995</v>
      </c>
    </row>
    <row r="16" spans="1:43">
      <c r="A16">
        <v>208</v>
      </c>
      <c r="B16" t="s">
        <v>113</v>
      </c>
      <c r="C16">
        <v>200</v>
      </c>
      <c r="D16" t="s">
        <v>114</v>
      </c>
      <c r="E16">
        <v>1999</v>
      </c>
      <c r="F16">
        <v>1</v>
      </c>
      <c r="G16">
        <v>0.89020771499999996</v>
      </c>
      <c r="H16">
        <v>0.82492581600000003</v>
      </c>
      <c r="I16">
        <v>0.743323442</v>
      </c>
      <c r="J16">
        <v>0.64094955499999995</v>
      </c>
      <c r="K16">
        <v>0.63204747800000005</v>
      </c>
      <c r="L16">
        <v>0.56379822000000002</v>
      </c>
      <c r="M16">
        <v>0.53264095</v>
      </c>
      <c r="N16">
        <v>0.47626112799999998</v>
      </c>
      <c r="O16">
        <v>0.46735905</v>
      </c>
      <c r="P16">
        <v>0.40949554900000001</v>
      </c>
      <c r="Q16">
        <v>0.483679525</v>
      </c>
      <c r="R16">
        <v>0.413946588</v>
      </c>
      <c r="S16">
        <v>0.44955489599999998</v>
      </c>
      <c r="T16">
        <v>0.394658754</v>
      </c>
      <c r="U16">
        <v>0.36646884299999999</v>
      </c>
      <c r="V16">
        <v>0.32789317499999998</v>
      </c>
      <c r="W16">
        <v>0.33679525199999999</v>
      </c>
      <c r="X16">
        <v>0.34718100899999998</v>
      </c>
      <c r="Y16">
        <v>0.30415430300000001</v>
      </c>
      <c r="Z16">
        <v>0.30118694400000001</v>
      </c>
      <c r="AA16">
        <v>0.28783382800000001</v>
      </c>
      <c r="AB16">
        <v>0.28783382800000001</v>
      </c>
      <c r="AC16">
        <v>0.27151335300000001</v>
      </c>
    </row>
    <row r="17" spans="1:42">
      <c r="A17" s="29">
        <v>229</v>
      </c>
      <c r="B17" t="s">
        <v>115</v>
      </c>
      <c r="C17">
        <v>400</v>
      </c>
      <c r="D17" t="s">
        <v>114</v>
      </c>
      <c r="E17">
        <v>2017</v>
      </c>
      <c r="F17">
        <v>1</v>
      </c>
      <c r="G17">
        <v>1.0685</v>
      </c>
      <c r="H17">
        <v>0.87587999999999999</v>
      </c>
      <c r="I17">
        <v>0.93091000000000002</v>
      </c>
      <c r="J17">
        <v>0.75644</v>
      </c>
      <c r="K17">
        <v>0.71018999999999999</v>
      </c>
    </row>
    <row r="18" spans="1:42">
      <c r="A18" s="29">
        <v>230</v>
      </c>
      <c r="B18" t="s">
        <v>113</v>
      </c>
      <c r="C18">
        <v>400</v>
      </c>
      <c r="D18" t="s">
        <v>114</v>
      </c>
      <c r="E18">
        <v>1994</v>
      </c>
      <c r="F18">
        <v>1</v>
      </c>
      <c r="G18">
        <v>0.50770000000000004</v>
      </c>
      <c r="H18">
        <v>0.40434999999999999</v>
      </c>
      <c r="I18">
        <v>0.33439000000000002</v>
      </c>
      <c r="J18">
        <v>0.57081999999999999</v>
      </c>
      <c r="K18">
        <v>0.39693000000000001</v>
      </c>
      <c r="L18">
        <v>0.35353000000000001</v>
      </c>
      <c r="M18">
        <v>0.30574000000000001</v>
      </c>
      <c r="N18">
        <v>0.35008</v>
      </c>
      <c r="O18">
        <v>0.39506000000000002</v>
      </c>
      <c r="P18">
        <v>0.47883999999999999</v>
      </c>
      <c r="Q18">
        <v>0.44680999999999998</v>
      </c>
      <c r="R18">
        <v>0.38067000000000001</v>
      </c>
      <c r="S18">
        <v>0.33935999999999999</v>
      </c>
      <c r="T18">
        <v>0.34677000000000002</v>
      </c>
      <c r="U18">
        <v>0.35469000000000001</v>
      </c>
      <c r="V18">
        <v>0.29502</v>
      </c>
      <c r="W18">
        <v>0.30797000000000002</v>
      </c>
      <c r="X18">
        <v>0.31899</v>
      </c>
      <c r="Y18">
        <v>0.33317000000000002</v>
      </c>
      <c r="Z18">
        <v>0.32417000000000001</v>
      </c>
      <c r="AA18">
        <v>0.29480000000000001</v>
      </c>
      <c r="AB18">
        <v>0.31294</v>
      </c>
      <c r="AC18">
        <v>0.25795000000000001</v>
      </c>
      <c r="AD18">
        <v>0.28466000000000002</v>
      </c>
      <c r="AE18">
        <v>0.25398999999999999</v>
      </c>
      <c r="AF18">
        <v>0.27723999999999999</v>
      </c>
      <c r="AG18">
        <v>0.23543</v>
      </c>
      <c r="AH18">
        <v>0.24809</v>
      </c>
    </row>
    <row r="19" spans="1:42">
      <c r="A19">
        <v>237</v>
      </c>
      <c r="B19" t="s">
        <v>113</v>
      </c>
      <c r="C19">
        <v>380</v>
      </c>
      <c r="D19" t="s">
        <v>114</v>
      </c>
      <c r="E19">
        <v>1992</v>
      </c>
      <c r="F19">
        <v>1</v>
      </c>
      <c r="G19">
        <v>0.83943997599999998</v>
      </c>
      <c r="I19">
        <v>0.77241584699999999</v>
      </c>
      <c r="J19">
        <v>0.62377122399999996</v>
      </c>
      <c r="K19">
        <v>0.60560023799999996</v>
      </c>
      <c r="M19">
        <v>0.60351504300000003</v>
      </c>
      <c r="N19">
        <v>0.61751563899999995</v>
      </c>
      <c r="O19">
        <v>0.61364313400000003</v>
      </c>
      <c r="P19">
        <v>0.58802502199999995</v>
      </c>
      <c r="Q19">
        <v>0.59159964300000001</v>
      </c>
      <c r="R19">
        <v>0.59368483800000005</v>
      </c>
      <c r="S19">
        <v>0.69377420300000003</v>
      </c>
      <c r="T19">
        <v>0.75603217199999995</v>
      </c>
      <c r="U19">
        <v>0.61721775400000001</v>
      </c>
      <c r="V19">
        <v>0.57551385200000005</v>
      </c>
      <c r="W19">
        <v>0.55168304999999995</v>
      </c>
      <c r="X19">
        <v>0.70390229400000004</v>
      </c>
      <c r="Y19">
        <v>0.54066130499999998</v>
      </c>
      <c r="Z19">
        <v>0.56866249599999996</v>
      </c>
      <c r="AA19">
        <v>0.56687518599999998</v>
      </c>
      <c r="AB19">
        <v>0.53738456999999995</v>
      </c>
      <c r="AC19">
        <v>0.53202263900000002</v>
      </c>
      <c r="AD19">
        <v>0.519511469</v>
      </c>
      <c r="AE19">
        <v>0.50312779299999999</v>
      </c>
      <c r="AF19">
        <v>0.53738456999999995</v>
      </c>
      <c r="AG19">
        <v>0.51980935399999995</v>
      </c>
      <c r="AH19">
        <v>0.49508489700000002</v>
      </c>
      <c r="AI19">
        <v>0.45129580000000002</v>
      </c>
      <c r="AJ19">
        <v>0.44086982400000002</v>
      </c>
    </row>
    <row r="20" spans="1:42">
      <c r="A20">
        <v>265</v>
      </c>
      <c r="B20" t="s">
        <v>113</v>
      </c>
      <c r="C20">
        <v>340</v>
      </c>
      <c r="D20" t="s">
        <v>114</v>
      </c>
      <c r="E20">
        <v>2011</v>
      </c>
      <c r="F20">
        <v>1</v>
      </c>
      <c r="G20">
        <v>1.015954416</v>
      </c>
      <c r="H20">
        <v>0.73960113999999999</v>
      </c>
      <c r="I20">
        <v>0.58518518500000005</v>
      </c>
      <c r="J20">
        <v>0.48888888899999999</v>
      </c>
      <c r="K20">
        <v>0.57321937300000003</v>
      </c>
      <c r="L20">
        <v>0.54985755000000003</v>
      </c>
      <c r="M20">
        <v>0.51396011399999997</v>
      </c>
      <c r="N20">
        <v>0.485470085</v>
      </c>
      <c r="O20">
        <v>0.43817663800000001</v>
      </c>
      <c r="P20">
        <v>0.41424501400000002</v>
      </c>
      <c r="Q20">
        <v>0.329344729</v>
      </c>
    </row>
    <row r="21" spans="1:42">
      <c r="A21">
        <v>291</v>
      </c>
      <c r="B21" t="s">
        <v>113</v>
      </c>
      <c r="C21">
        <v>240</v>
      </c>
      <c r="D21" t="s">
        <v>114</v>
      </c>
      <c r="E21">
        <v>2008</v>
      </c>
      <c r="F21">
        <v>1</v>
      </c>
      <c r="G21">
        <v>0.96807842200000005</v>
      </c>
      <c r="H21">
        <v>0.93213522699999996</v>
      </c>
      <c r="J21">
        <v>0.90599472199999997</v>
      </c>
      <c r="K21">
        <v>0.82292321199999996</v>
      </c>
      <c r="L21">
        <v>0.83021239199999997</v>
      </c>
      <c r="M21">
        <v>0.76636923499999998</v>
      </c>
      <c r="N21">
        <v>0.69674500399999995</v>
      </c>
      <c r="O21">
        <v>0.67160990300000001</v>
      </c>
      <c r="P21">
        <v>0.64081940400000004</v>
      </c>
      <c r="Q21">
        <v>0.60361945500000003</v>
      </c>
      <c r="R21">
        <v>0.55083574199999996</v>
      </c>
      <c r="S21">
        <v>0.50006283799999995</v>
      </c>
      <c r="T21">
        <v>0.50408445400000002</v>
      </c>
    </row>
    <row r="22" spans="1:42">
      <c r="A22">
        <v>298</v>
      </c>
      <c r="B22" t="s">
        <v>113</v>
      </c>
      <c r="C22">
        <v>260</v>
      </c>
      <c r="D22" t="s">
        <v>114</v>
      </c>
      <c r="E22">
        <v>2007</v>
      </c>
      <c r="F22">
        <v>1</v>
      </c>
      <c r="G22">
        <v>1.0220338980000001</v>
      </c>
      <c r="H22">
        <v>0.98644067800000002</v>
      </c>
      <c r="J22">
        <v>0.919774011</v>
      </c>
      <c r="K22">
        <v>0.93446327699999998</v>
      </c>
      <c r="L22">
        <v>0.84915254200000001</v>
      </c>
      <c r="M22">
        <v>0.818644068</v>
      </c>
      <c r="N22">
        <v>0.73220339000000001</v>
      </c>
      <c r="O22">
        <v>0.64463276800000002</v>
      </c>
      <c r="P22">
        <v>0.72033898299999999</v>
      </c>
      <c r="Q22">
        <v>0.73502824899999997</v>
      </c>
      <c r="R22">
        <v>0.70847457599999997</v>
      </c>
      <c r="S22">
        <v>0.697175141</v>
      </c>
      <c r="T22">
        <v>0.69435028200000004</v>
      </c>
      <c r="U22">
        <v>0.68531073399999998</v>
      </c>
    </row>
    <row r="23" spans="1:42">
      <c r="A23">
        <v>299</v>
      </c>
      <c r="B23" t="s">
        <v>113</v>
      </c>
      <c r="C23">
        <v>260</v>
      </c>
      <c r="D23" t="s">
        <v>114</v>
      </c>
      <c r="E23">
        <v>2003</v>
      </c>
      <c r="F23">
        <v>1</v>
      </c>
      <c r="G23">
        <v>1.0508205399999999</v>
      </c>
      <c r="H23">
        <v>0.98517734300000004</v>
      </c>
      <c r="J23">
        <v>0.96823716299999996</v>
      </c>
      <c r="K23">
        <v>0.91635786100000005</v>
      </c>
      <c r="L23">
        <v>0.72631021699999998</v>
      </c>
      <c r="M23">
        <v>0.70831127599999999</v>
      </c>
      <c r="N23">
        <v>0.74325039699999995</v>
      </c>
      <c r="O23">
        <v>0.73636844899999998</v>
      </c>
      <c r="P23">
        <v>0.70937003700000001</v>
      </c>
      <c r="Q23">
        <v>0.67760719999999997</v>
      </c>
      <c r="R23">
        <v>0.63896241399999998</v>
      </c>
      <c r="S23">
        <v>0.62519851800000004</v>
      </c>
      <c r="T23">
        <v>0.61778718899999996</v>
      </c>
      <c r="U23">
        <v>0.60667019600000005</v>
      </c>
      <c r="V23">
        <v>0.62149285300000001</v>
      </c>
      <c r="W23">
        <v>0.58496559000000004</v>
      </c>
      <c r="X23">
        <v>0.56431974600000001</v>
      </c>
      <c r="Y23">
        <v>0.55584965600000003</v>
      </c>
    </row>
    <row r="24" spans="1:42">
      <c r="A24">
        <v>300</v>
      </c>
      <c r="B24" t="s">
        <v>113</v>
      </c>
      <c r="C24">
        <v>260</v>
      </c>
      <c r="D24" t="s">
        <v>114</v>
      </c>
      <c r="E24">
        <v>2002</v>
      </c>
      <c r="F24">
        <v>1</v>
      </c>
      <c r="G24">
        <v>0.91215000000000002</v>
      </c>
      <c r="H24">
        <v>0.84711999999999998</v>
      </c>
      <c r="I24">
        <v>0.71592</v>
      </c>
      <c r="J24">
        <v>0.58794000000000002</v>
      </c>
      <c r="K24">
        <v>0.53356000000000003</v>
      </c>
      <c r="L24">
        <v>0.57957999999999998</v>
      </c>
      <c r="M24">
        <v>0.47460999999999998</v>
      </c>
      <c r="N24">
        <v>0.31755</v>
      </c>
      <c r="O24">
        <v>0.18521000000000001</v>
      </c>
      <c r="P24">
        <v>0.34037000000000001</v>
      </c>
      <c r="Q24">
        <v>0.34683000000000003</v>
      </c>
      <c r="R24">
        <v>0.27572000000000002</v>
      </c>
      <c r="S24">
        <v>0.28827000000000003</v>
      </c>
      <c r="T24">
        <v>0.25213999999999998</v>
      </c>
      <c r="U24">
        <v>0.22932</v>
      </c>
      <c r="V24">
        <v>0.21942999999999999</v>
      </c>
      <c r="W24">
        <v>0.25157000000000002</v>
      </c>
      <c r="X24">
        <v>0.24016000000000001</v>
      </c>
      <c r="Y24">
        <v>0.19167000000000001</v>
      </c>
      <c r="Z24">
        <v>0.16714000000000001</v>
      </c>
    </row>
    <row r="25" spans="1:42">
      <c r="A25">
        <v>305</v>
      </c>
      <c r="B25" t="s">
        <v>113</v>
      </c>
      <c r="C25">
        <v>300</v>
      </c>
      <c r="D25" t="s">
        <v>114</v>
      </c>
      <c r="E25">
        <v>2004</v>
      </c>
      <c r="F25">
        <v>1</v>
      </c>
      <c r="G25">
        <v>1.060225017</v>
      </c>
      <c r="H25">
        <v>0.89609530100000001</v>
      </c>
      <c r="I25">
        <v>1.017868961</v>
      </c>
      <c r="J25">
        <v>0.94043679700000005</v>
      </c>
      <c r="K25">
        <v>0.93183322300000004</v>
      </c>
      <c r="L25">
        <v>0.83057577800000004</v>
      </c>
      <c r="M25">
        <v>0.80277961600000003</v>
      </c>
      <c r="N25">
        <v>0.63136995399999996</v>
      </c>
      <c r="O25">
        <v>0.494374586</v>
      </c>
      <c r="P25">
        <v>0.55790867</v>
      </c>
      <c r="Q25">
        <v>0.36730642000000002</v>
      </c>
      <c r="R25">
        <v>0.51224354699999997</v>
      </c>
      <c r="S25">
        <v>0.41561879499999999</v>
      </c>
      <c r="T25">
        <v>0.399735275</v>
      </c>
      <c r="U25">
        <v>0.332230311</v>
      </c>
      <c r="V25">
        <v>0.344142952</v>
      </c>
      <c r="W25">
        <v>6.6843150000000004E-2</v>
      </c>
      <c r="X25">
        <v>7.0152217000000003E-2</v>
      </c>
    </row>
    <row r="26" spans="1:42">
      <c r="A26" s="23">
        <v>306</v>
      </c>
      <c r="B26" t="s">
        <v>113</v>
      </c>
      <c r="C26">
        <v>260</v>
      </c>
      <c r="D26" t="s">
        <v>114</v>
      </c>
      <c r="E26">
        <v>2000</v>
      </c>
      <c r="F26">
        <v>1</v>
      </c>
      <c r="G26">
        <v>0.99938309700000005</v>
      </c>
      <c r="H26">
        <v>0.99444787199999995</v>
      </c>
      <c r="I26" s="23">
        <v>0.97964219600000002</v>
      </c>
      <c r="J26" s="23">
        <v>1.0795805060000001</v>
      </c>
      <c r="K26" s="23">
        <v>1.00987045</v>
      </c>
      <c r="L26" s="23">
        <v>0.75632325700000003</v>
      </c>
      <c r="M26" s="23">
        <v>0.84824182599999998</v>
      </c>
      <c r="N26" s="23">
        <v>0.56570018499999997</v>
      </c>
      <c r="O26" s="23">
        <v>0.460209747</v>
      </c>
      <c r="P26" s="23">
        <v>0.604565083</v>
      </c>
      <c r="Q26" s="23">
        <v>0.43429981499999998</v>
      </c>
      <c r="R26" s="23">
        <v>0.40900678600000001</v>
      </c>
      <c r="S26">
        <v>0.170882171</v>
      </c>
      <c r="T26">
        <v>0.172115978</v>
      </c>
      <c r="U26">
        <v>0.15977791499999999</v>
      </c>
      <c r="V26">
        <v>0.15607649600000001</v>
      </c>
      <c r="W26">
        <v>0.15916101199999999</v>
      </c>
      <c r="X26">
        <v>0.16039481799999999</v>
      </c>
      <c r="Y26">
        <v>0.15114127099999999</v>
      </c>
      <c r="Z26">
        <v>0.15114127099999999</v>
      </c>
      <c r="AA26">
        <v>0.15052436799999999</v>
      </c>
      <c r="AB26">
        <v>0.144972239</v>
      </c>
    </row>
    <row r="27" spans="1:42">
      <c r="A27" s="31">
        <v>335</v>
      </c>
      <c r="B27" t="s">
        <v>115</v>
      </c>
      <c r="C27">
        <v>740</v>
      </c>
      <c r="D27" t="s">
        <v>114</v>
      </c>
      <c r="E27">
        <v>2011</v>
      </c>
      <c r="F27">
        <v>1</v>
      </c>
      <c r="G27">
        <v>0.51198999999999995</v>
      </c>
      <c r="H27">
        <v>0.72067000000000003</v>
      </c>
      <c r="I27">
        <v>0.44416</v>
      </c>
      <c r="J27">
        <v>0.75243000000000004</v>
      </c>
      <c r="K27">
        <v>0.66903999999999997</v>
      </c>
      <c r="L27">
        <v>0.50702000000000003</v>
      </c>
      <c r="M27">
        <v>0.37805</v>
      </c>
      <c r="N27">
        <v>0.43314000000000002</v>
      </c>
      <c r="O27">
        <v>0.59602999999999995</v>
      </c>
      <c r="P27">
        <v>0.49686999999999998</v>
      </c>
      <c r="Q27">
        <v>0.40894000000000003</v>
      </c>
    </row>
    <row r="28" spans="1:42">
      <c r="A28" s="31">
        <v>341</v>
      </c>
      <c r="B28" t="s">
        <v>115</v>
      </c>
      <c r="C28">
        <v>600</v>
      </c>
      <c r="D28" t="s">
        <v>114</v>
      </c>
      <c r="E28">
        <v>2007</v>
      </c>
      <c r="F28">
        <v>1</v>
      </c>
      <c r="G28">
        <v>0.47926000000000002</v>
      </c>
      <c r="H28">
        <v>0.51275000000000004</v>
      </c>
      <c r="I28">
        <v>0.50043000000000004</v>
      </c>
      <c r="J28">
        <v>0.54205999999999999</v>
      </c>
      <c r="K28">
        <v>0.53427999999999998</v>
      </c>
      <c r="L28">
        <v>0.61380000000000001</v>
      </c>
      <c r="M28">
        <v>0.50007000000000001</v>
      </c>
      <c r="N28">
        <v>0.64303999999999994</v>
      </c>
      <c r="O28">
        <v>0.61365999999999998</v>
      </c>
      <c r="P28">
        <v>0.53730999999999995</v>
      </c>
      <c r="Q28">
        <v>0.43302000000000002</v>
      </c>
      <c r="R28">
        <v>0.47169</v>
      </c>
      <c r="S28">
        <v>0.65954000000000002</v>
      </c>
      <c r="T28">
        <v>0.52822999999999998</v>
      </c>
      <c r="U28">
        <v>0.45390000000000003</v>
      </c>
    </row>
    <row r="29" spans="1:42">
      <c r="A29">
        <v>342</v>
      </c>
      <c r="B29" t="s">
        <v>113</v>
      </c>
      <c r="C29">
        <v>680</v>
      </c>
      <c r="D29" t="s">
        <v>114</v>
      </c>
      <c r="E29">
        <v>2005</v>
      </c>
      <c r="F29">
        <v>1</v>
      </c>
      <c r="G29">
        <v>0.78925335200000002</v>
      </c>
      <c r="H29">
        <v>0.68777489300000005</v>
      </c>
      <c r="I29">
        <v>0.62460918899999995</v>
      </c>
      <c r="J29">
        <v>0.57638704900000004</v>
      </c>
      <c r="K29">
        <v>0.52143500600000003</v>
      </c>
      <c r="L29">
        <v>0.48826241300000001</v>
      </c>
      <c r="M29">
        <v>0.45572571699999997</v>
      </c>
      <c r="N29">
        <v>0.47671029599999998</v>
      </c>
      <c r="O29">
        <v>0.46955646200000001</v>
      </c>
      <c r="P29">
        <v>0.47056329800000002</v>
      </c>
      <c r="Q29">
        <v>0.49387949799999997</v>
      </c>
    </row>
    <row r="30" spans="1:42">
      <c r="A30">
        <v>375</v>
      </c>
      <c r="B30" t="s">
        <v>113</v>
      </c>
      <c r="C30">
        <v>200</v>
      </c>
      <c r="D30" t="s">
        <v>114</v>
      </c>
      <c r="E30">
        <v>1986</v>
      </c>
      <c r="F30">
        <v>1</v>
      </c>
      <c r="G30">
        <v>0.97765363100000002</v>
      </c>
      <c r="H30">
        <v>0.98696461800000002</v>
      </c>
      <c r="I30">
        <v>0.98137802600000001</v>
      </c>
      <c r="J30">
        <v>0.98137802600000001</v>
      </c>
      <c r="K30">
        <v>0.96834264400000003</v>
      </c>
      <c r="L30">
        <v>0.94227188100000003</v>
      </c>
      <c r="M30">
        <v>0.93854748600000004</v>
      </c>
      <c r="O30">
        <v>0.84171322199999998</v>
      </c>
      <c r="P30">
        <v>0.84357541899999999</v>
      </c>
      <c r="Q30">
        <v>0.88454376199999996</v>
      </c>
      <c r="R30">
        <v>0.83798882699999999</v>
      </c>
      <c r="S30">
        <v>0.834264432</v>
      </c>
      <c r="T30">
        <v>0.85661080099999998</v>
      </c>
      <c r="U30">
        <v>0.79515828700000002</v>
      </c>
      <c r="V30">
        <v>0.78026070800000003</v>
      </c>
      <c r="W30">
        <v>0.82122905000000002</v>
      </c>
      <c r="X30">
        <v>0.82495344500000001</v>
      </c>
      <c r="Y30">
        <v>0.73370577299999995</v>
      </c>
      <c r="Z30">
        <v>0.72998137799999996</v>
      </c>
      <c r="AA30">
        <v>0.68528864099999998</v>
      </c>
      <c r="AB30">
        <v>0.72625698299999997</v>
      </c>
      <c r="AC30">
        <v>0.679702048</v>
      </c>
      <c r="AD30">
        <v>0.73556796999999996</v>
      </c>
      <c r="AE30">
        <v>0.70018621999999997</v>
      </c>
      <c r="AF30">
        <v>0.63500931100000002</v>
      </c>
      <c r="AG30">
        <v>0.60707635000000004</v>
      </c>
      <c r="AH30">
        <v>0.72439478599999996</v>
      </c>
      <c r="AI30">
        <v>0.61452514000000003</v>
      </c>
      <c r="AJ30">
        <v>0.54748603399999995</v>
      </c>
      <c r="AK30">
        <v>0.51396648</v>
      </c>
      <c r="AL30">
        <v>0.52513966499999998</v>
      </c>
      <c r="AM30">
        <v>0.502793296</v>
      </c>
      <c r="AN30">
        <v>0.61638733700000004</v>
      </c>
      <c r="AO30">
        <v>0.47113593999999998</v>
      </c>
      <c r="AP30">
        <v>0.41899441300000001</v>
      </c>
    </row>
    <row r="31" spans="1:42">
      <c r="A31">
        <v>377</v>
      </c>
      <c r="B31" t="s">
        <v>113</v>
      </c>
      <c r="C31">
        <v>200</v>
      </c>
      <c r="D31" t="s">
        <v>114</v>
      </c>
      <c r="E31">
        <v>1986</v>
      </c>
      <c r="F31">
        <v>1</v>
      </c>
      <c r="G31">
        <v>1.35171</v>
      </c>
      <c r="H31">
        <v>0.79790000000000005</v>
      </c>
      <c r="I31">
        <v>1.1889799999999999</v>
      </c>
      <c r="J31">
        <v>0.56298999999999999</v>
      </c>
      <c r="K31">
        <v>0.39239000000000002</v>
      </c>
      <c r="L31">
        <v>0.84382999999999997</v>
      </c>
      <c r="M31">
        <v>0.28345999999999999</v>
      </c>
      <c r="N31">
        <v>0.29396</v>
      </c>
      <c r="O31">
        <v>0.36088999999999999</v>
      </c>
      <c r="P31">
        <v>1.26772</v>
      </c>
      <c r="Q31">
        <v>1.1036699999999999</v>
      </c>
      <c r="R31">
        <v>0.73621999999999999</v>
      </c>
      <c r="S31">
        <v>0.70996999999999999</v>
      </c>
      <c r="T31">
        <v>1.2795300000000001</v>
      </c>
      <c r="U31">
        <v>0.55511999999999995</v>
      </c>
      <c r="V31">
        <v>0.92257</v>
      </c>
      <c r="W31">
        <v>0.91600999999999999</v>
      </c>
      <c r="X31">
        <v>0.59448999999999996</v>
      </c>
      <c r="Y31">
        <v>1.0209999999999999</v>
      </c>
      <c r="Z31">
        <v>0.57086999999999999</v>
      </c>
      <c r="AA31">
        <v>0.45276</v>
      </c>
      <c r="AB31">
        <v>0.48687999999999998</v>
      </c>
      <c r="AC31">
        <v>0.67323</v>
      </c>
      <c r="AD31">
        <v>0.39107999999999998</v>
      </c>
      <c r="AE31">
        <v>0.61811000000000005</v>
      </c>
      <c r="AF31">
        <v>0.55511999999999995</v>
      </c>
      <c r="AG31">
        <v>0.67979000000000001</v>
      </c>
      <c r="AH31">
        <v>0.31234000000000001</v>
      </c>
      <c r="AI31">
        <v>0.45012999999999997</v>
      </c>
      <c r="AJ31">
        <v>0.44094</v>
      </c>
      <c r="AK31">
        <v>0.50131000000000003</v>
      </c>
      <c r="AL31">
        <v>0.36614000000000002</v>
      </c>
      <c r="AM31">
        <v>0.46850000000000003</v>
      </c>
      <c r="AN31">
        <v>0.39500999999999997</v>
      </c>
      <c r="AO31">
        <v>0.43175999999999998</v>
      </c>
      <c r="AP31">
        <v>0.49606</v>
      </c>
    </row>
    <row r="32" spans="1:42">
      <c r="A32">
        <v>378</v>
      </c>
      <c r="B32" t="s">
        <v>113</v>
      </c>
      <c r="C32">
        <v>280</v>
      </c>
      <c r="D32" t="s">
        <v>114</v>
      </c>
      <c r="E32">
        <v>2011</v>
      </c>
      <c r="F32">
        <v>1</v>
      </c>
      <c r="G32">
        <v>0.80174081200000002</v>
      </c>
      <c r="H32">
        <v>0.56673114099999999</v>
      </c>
      <c r="I32">
        <v>0.47388781400000002</v>
      </c>
      <c r="J32">
        <v>0.47630560900000002</v>
      </c>
      <c r="K32">
        <v>0.51112185700000001</v>
      </c>
      <c r="L32">
        <v>0.47388781400000002</v>
      </c>
      <c r="M32">
        <v>0.48500967099999998</v>
      </c>
      <c r="N32">
        <v>0.44342359799999997</v>
      </c>
      <c r="O32">
        <v>0.43568665400000001</v>
      </c>
      <c r="P32">
        <v>0.45212765999999999</v>
      </c>
      <c r="Q32">
        <v>0.394584139</v>
      </c>
    </row>
    <row r="33" spans="1:36">
      <c r="A33">
        <v>380</v>
      </c>
      <c r="B33" t="s">
        <v>113</v>
      </c>
      <c r="C33">
        <v>360</v>
      </c>
      <c r="D33" t="s">
        <v>114</v>
      </c>
      <c r="E33">
        <v>2003</v>
      </c>
      <c r="F33">
        <v>1</v>
      </c>
      <c r="G33">
        <v>0.99707031300000004</v>
      </c>
      <c r="H33">
        <v>0.974609375</v>
      </c>
      <c r="I33">
        <v>0.73925781300000004</v>
      </c>
      <c r="J33">
        <v>0.63574218800000004</v>
      </c>
      <c r="K33">
        <v>0.6171875</v>
      </c>
      <c r="L33">
        <v>0.359375</v>
      </c>
      <c r="M33">
        <v>0.251953125</v>
      </c>
      <c r="N33">
        <v>0.259765625</v>
      </c>
      <c r="O33">
        <v>0.26855468799999999</v>
      </c>
      <c r="P33">
        <v>0.2734375</v>
      </c>
      <c r="Q33">
        <v>0.248046875</v>
      </c>
      <c r="R33">
        <v>0.2421875</v>
      </c>
      <c r="S33">
        <v>0.23730468800000001</v>
      </c>
      <c r="T33">
        <v>0.25097656299999999</v>
      </c>
      <c r="U33">
        <v>0.201171875</v>
      </c>
      <c r="V33">
        <v>0.22363281300000001</v>
      </c>
      <c r="W33">
        <v>0.244140625</v>
      </c>
      <c r="X33">
        <v>0.216796875</v>
      </c>
      <c r="Y33">
        <v>0.21191406300000001</v>
      </c>
    </row>
    <row r="34" spans="1:36">
      <c r="A34">
        <v>382</v>
      </c>
      <c r="B34" t="s">
        <v>113</v>
      </c>
      <c r="C34">
        <v>200</v>
      </c>
      <c r="D34" t="s">
        <v>114</v>
      </c>
      <c r="E34">
        <v>2004</v>
      </c>
      <c r="F34">
        <v>1</v>
      </c>
      <c r="G34">
        <v>0.99558498900000003</v>
      </c>
      <c r="H34">
        <v>0.98785871999999997</v>
      </c>
      <c r="I34">
        <v>0.98785871999999997</v>
      </c>
      <c r="J34">
        <v>1.0044150110000001</v>
      </c>
      <c r="K34">
        <v>1</v>
      </c>
      <c r="L34">
        <v>0.97902869800000003</v>
      </c>
      <c r="M34">
        <v>0.99227373100000005</v>
      </c>
      <c r="N34">
        <v>0.99116997799999995</v>
      </c>
      <c r="O34">
        <v>0.97571743899999996</v>
      </c>
      <c r="Q34">
        <v>0.98013245000000004</v>
      </c>
      <c r="R34">
        <v>0.971302428</v>
      </c>
      <c r="S34">
        <v>0.93156732900000006</v>
      </c>
      <c r="T34">
        <v>0.95695364199999999</v>
      </c>
      <c r="U34">
        <v>0.93598234000000002</v>
      </c>
      <c r="V34">
        <v>0.92273730700000001</v>
      </c>
      <c r="W34">
        <v>0.92273730700000001</v>
      </c>
      <c r="X34">
        <v>0.92163355400000002</v>
      </c>
    </row>
    <row r="35" spans="1:36">
      <c r="A35">
        <v>390</v>
      </c>
      <c r="B35" t="s">
        <v>113</v>
      </c>
      <c r="C35">
        <v>800</v>
      </c>
      <c r="D35" t="s">
        <v>114</v>
      </c>
      <c r="E35">
        <v>2000</v>
      </c>
      <c r="F35">
        <v>1</v>
      </c>
      <c r="G35">
        <v>0.96292050200000001</v>
      </c>
      <c r="H35">
        <v>0.78865996299999996</v>
      </c>
      <c r="I35">
        <v>0.63339775300000001</v>
      </c>
      <c r="J35">
        <v>0.540043893</v>
      </c>
      <c r="K35">
        <v>0.49028792300000001</v>
      </c>
      <c r="L35">
        <v>0.50001637799999998</v>
      </c>
      <c r="M35">
        <v>0.515116774</v>
      </c>
      <c r="N35">
        <v>0.442562809</v>
      </c>
      <c r="O35">
        <v>0.45455140999999999</v>
      </c>
      <c r="P35">
        <v>0.45602541800000002</v>
      </c>
      <c r="Q35">
        <v>0.49248255800000001</v>
      </c>
      <c r="R35">
        <v>0.48799502099999997</v>
      </c>
      <c r="S35">
        <v>0.45880965600000001</v>
      </c>
      <c r="T35">
        <v>0.47492548099999998</v>
      </c>
      <c r="U35">
        <v>0.46454191099999997</v>
      </c>
      <c r="V35">
        <v>0.43696157800000002</v>
      </c>
      <c r="W35">
        <v>0.453535982</v>
      </c>
      <c r="X35">
        <v>0.43191719299999998</v>
      </c>
      <c r="Y35">
        <v>0.437289135</v>
      </c>
      <c r="Z35">
        <v>0.38995709000000001</v>
      </c>
      <c r="AA35">
        <v>0.38861410499999999</v>
      </c>
      <c r="AB35">
        <v>0.37688755000000002</v>
      </c>
    </row>
    <row r="36" spans="1:36">
      <c r="A36">
        <v>395</v>
      </c>
      <c r="B36" t="s">
        <v>113</v>
      </c>
      <c r="C36">
        <v>800</v>
      </c>
      <c r="D36" t="s">
        <v>114</v>
      </c>
      <c r="E36">
        <v>2017</v>
      </c>
      <c r="F36">
        <v>1</v>
      </c>
      <c r="G36">
        <v>0.90857635000000003</v>
      </c>
      <c r="H36">
        <v>0.64107296700000005</v>
      </c>
      <c r="I36">
        <v>0.60846560800000005</v>
      </c>
      <c r="J36">
        <v>0.40334686800000003</v>
      </c>
      <c r="K36">
        <v>0.27021041000000001</v>
      </c>
    </row>
    <row r="37" spans="1:36">
      <c r="A37">
        <v>405</v>
      </c>
      <c r="B37" t="s">
        <v>113</v>
      </c>
      <c r="C37">
        <v>700</v>
      </c>
      <c r="D37" t="s">
        <v>114</v>
      </c>
      <c r="E37">
        <v>1997</v>
      </c>
      <c r="F37">
        <v>1</v>
      </c>
      <c r="G37">
        <v>0.83472387800000003</v>
      </c>
      <c r="H37">
        <v>0.71619077200000003</v>
      </c>
      <c r="I37">
        <v>0.77193346100000004</v>
      </c>
      <c r="J37">
        <v>0.71783178700000005</v>
      </c>
      <c r="K37">
        <v>0.66443834099999999</v>
      </c>
      <c r="L37">
        <v>0.61508697400000001</v>
      </c>
      <c r="M37">
        <v>0.608972034</v>
      </c>
      <c r="N37">
        <v>0.50470712200000001</v>
      </c>
      <c r="O37">
        <v>0.55189925900000003</v>
      </c>
      <c r="P37">
        <v>0.59285553899999999</v>
      </c>
      <c r="Q37">
        <v>0.48957523600000002</v>
      </c>
      <c r="R37">
        <v>0.50216786700000005</v>
      </c>
      <c r="S37">
        <v>0.50527715900000003</v>
      </c>
      <c r="T37">
        <v>0.49066348799999998</v>
      </c>
      <c r="U37">
        <v>0.48612046799999997</v>
      </c>
      <c r="V37">
        <v>0.45241920200000002</v>
      </c>
      <c r="W37">
        <v>0.42932407500000003</v>
      </c>
      <c r="X37">
        <v>0.44557876000000002</v>
      </c>
      <c r="Y37">
        <v>0.41954708000000002</v>
      </c>
      <c r="Z37">
        <v>0.42353733700000001</v>
      </c>
      <c r="AA37">
        <v>0.39346357799999998</v>
      </c>
      <c r="AB37">
        <v>0.40961462100000001</v>
      </c>
      <c r="AC37">
        <v>0.42859857299999998</v>
      </c>
      <c r="AD37">
        <v>0.401685927</v>
      </c>
      <c r="AE37">
        <v>0.390198822</v>
      </c>
    </row>
    <row r="38" spans="1:36">
      <c r="A38">
        <v>412</v>
      </c>
      <c r="B38" t="s">
        <v>113</v>
      </c>
      <c r="C38">
        <v>600</v>
      </c>
      <c r="D38" t="s">
        <v>114</v>
      </c>
      <c r="E38">
        <v>1998</v>
      </c>
      <c r="F38">
        <v>1</v>
      </c>
      <c r="G38">
        <v>1.0199259890000001</v>
      </c>
      <c r="H38">
        <v>0.634785084</v>
      </c>
      <c r="I38">
        <v>0.80643324800000005</v>
      </c>
      <c r="J38">
        <v>0.56091659599999999</v>
      </c>
      <c r="K38">
        <v>0.479647025</v>
      </c>
      <c r="L38">
        <v>0.52832336999999996</v>
      </c>
      <c r="M38">
        <v>0.34557358399999999</v>
      </c>
      <c r="N38">
        <v>0.34101907199999998</v>
      </c>
      <c r="O38">
        <v>0.52974665499999996</v>
      </c>
      <c r="P38">
        <v>0.23498434400000001</v>
      </c>
      <c r="Q38">
        <v>0.22203245099999999</v>
      </c>
      <c r="R38">
        <v>0.22630230600000001</v>
      </c>
      <c r="S38">
        <v>0.21833190999999999</v>
      </c>
      <c r="T38">
        <v>0.260745801</v>
      </c>
      <c r="U38">
        <v>0.23896954200000001</v>
      </c>
      <c r="V38">
        <v>0.22345573599999999</v>
      </c>
      <c r="W38">
        <v>0.214204384</v>
      </c>
      <c r="X38">
        <v>0.18943922599999999</v>
      </c>
      <c r="Y38">
        <v>0.19342442400000001</v>
      </c>
      <c r="Z38">
        <v>0.16937090799999999</v>
      </c>
      <c r="AA38">
        <v>0.18815826899999999</v>
      </c>
      <c r="AB38">
        <v>0.186450327</v>
      </c>
      <c r="AC38">
        <v>0.178764589</v>
      </c>
      <c r="AD38">
        <v>0.17591801900000001</v>
      </c>
    </row>
    <row r="39" spans="1:36">
      <c r="A39">
        <v>427</v>
      </c>
      <c r="B39" t="s">
        <v>113</v>
      </c>
      <c r="C39">
        <v>260</v>
      </c>
      <c r="D39" t="s">
        <v>114</v>
      </c>
      <c r="E39">
        <v>2012</v>
      </c>
      <c r="F39">
        <v>1</v>
      </c>
      <c r="G39">
        <v>0.87209876500000005</v>
      </c>
      <c r="H39">
        <v>0.56296296300000004</v>
      </c>
      <c r="I39">
        <v>0.43358024699999997</v>
      </c>
      <c r="J39">
        <v>0.32543209899999997</v>
      </c>
      <c r="K39">
        <v>0.324444444</v>
      </c>
      <c r="L39">
        <v>0.31654321000000002</v>
      </c>
      <c r="M39">
        <v>0.29580246900000001</v>
      </c>
      <c r="N39">
        <v>0.29086419800000002</v>
      </c>
      <c r="O39">
        <v>0.29135802500000002</v>
      </c>
      <c r="P39">
        <v>0.26864197499999998</v>
      </c>
    </row>
    <row r="40" spans="1:36">
      <c r="A40" s="24">
        <v>428</v>
      </c>
      <c r="B40" t="s">
        <v>113</v>
      </c>
      <c r="C40">
        <v>260</v>
      </c>
      <c r="D40" t="s">
        <v>114</v>
      </c>
      <c r="E40">
        <v>2003</v>
      </c>
      <c r="F40">
        <v>1</v>
      </c>
      <c r="G40">
        <v>0.13711000000000001</v>
      </c>
      <c r="H40">
        <v>2.9250000000000002E-2</v>
      </c>
      <c r="I40">
        <v>1.83E-3</v>
      </c>
      <c r="J40">
        <v>9.1400000000000006E-3</v>
      </c>
      <c r="K40">
        <v>0</v>
      </c>
      <c r="L40">
        <v>1.83E-3</v>
      </c>
      <c r="M40">
        <v>1.83E-3</v>
      </c>
      <c r="N40">
        <v>1.83E-3</v>
      </c>
      <c r="O40">
        <v>0</v>
      </c>
      <c r="P40">
        <v>1.83E-3</v>
      </c>
      <c r="Q40">
        <v>1.0970000000000001E-2</v>
      </c>
      <c r="R40">
        <v>0</v>
      </c>
      <c r="S40">
        <v>1.83E-3</v>
      </c>
      <c r="T40">
        <v>3.6600000000000001E-3</v>
      </c>
    </row>
    <row r="41" spans="1:36">
      <c r="A41" s="23">
        <v>435</v>
      </c>
      <c r="B41" t="s">
        <v>113</v>
      </c>
      <c r="C41">
        <v>360</v>
      </c>
      <c r="D41" t="s">
        <v>114</v>
      </c>
      <c r="E41">
        <v>1992</v>
      </c>
      <c r="F41">
        <v>1</v>
      </c>
      <c r="G41">
        <v>0.99760287700000005</v>
      </c>
      <c r="H41">
        <v>0.98761486200000004</v>
      </c>
      <c r="I41">
        <v>0.91729924100000004</v>
      </c>
      <c r="J41">
        <v>0.87814622499999995</v>
      </c>
      <c r="K41">
        <v>0.65521374399999999</v>
      </c>
      <c r="L41">
        <v>0.79284858199999997</v>
      </c>
      <c r="M41">
        <v>0.69436675999999997</v>
      </c>
      <c r="N41">
        <v>0.60047942499999996</v>
      </c>
      <c r="O41">
        <v>0.53635637199999997</v>
      </c>
      <c r="P41">
        <v>0.59388733500000002</v>
      </c>
      <c r="Q41">
        <v>0.45805034</v>
      </c>
      <c r="R41">
        <v>0.64702357200000005</v>
      </c>
      <c r="S41">
        <v>0.46564123099999999</v>
      </c>
      <c r="T41">
        <v>0.39812225299999998</v>
      </c>
      <c r="U41">
        <v>0.78525769099999998</v>
      </c>
      <c r="V41">
        <v>0.52137435099999996</v>
      </c>
      <c r="W41">
        <v>0.77287255300000002</v>
      </c>
      <c r="X41">
        <v>0.540351578</v>
      </c>
      <c r="Y41">
        <v>0.32600878900000002</v>
      </c>
      <c r="Z41">
        <v>0.51837794599999998</v>
      </c>
      <c r="AA41">
        <v>0.57371154599999996</v>
      </c>
      <c r="AB41">
        <v>0.58210147800000001</v>
      </c>
      <c r="AC41">
        <v>0.34698361999999999</v>
      </c>
      <c r="AD41">
        <v>0.36815820999999999</v>
      </c>
      <c r="AE41">
        <v>0.54254894099999995</v>
      </c>
      <c r="AF41">
        <v>0.440471434</v>
      </c>
      <c r="AG41">
        <v>0.50139832200000001</v>
      </c>
      <c r="AH41">
        <v>0.517778666</v>
      </c>
      <c r="AI41">
        <v>0.42808629599999998</v>
      </c>
      <c r="AJ41">
        <v>0.390331602</v>
      </c>
    </row>
    <row r="42" spans="1:36">
      <c r="A42">
        <v>439</v>
      </c>
      <c r="B42" t="s">
        <v>113</v>
      </c>
      <c r="C42">
        <v>360</v>
      </c>
      <c r="D42" t="s">
        <v>114</v>
      </c>
      <c r="E42">
        <v>2005</v>
      </c>
      <c r="F42">
        <v>1</v>
      </c>
      <c r="G42">
        <v>0.93760539600000004</v>
      </c>
      <c r="H42">
        <v>0.86284429500000004</v>
      </c>
      <c r="I42">
        <v>0.95446880300000003</v>
      </c>
      <c r="J42">
        <v>0.98369870699999995</v>
      </c>
      <c r="K42">
        <v>0.82237211899999996</v>
      </c>
      <c r="L42">
        <v>0.91849353600000005</v>
      </c>
      <c r="M42">
        <v>0.85216413700000004</v>
      </c>
      <c r="N42">
        <v>0.95503091600000001</v>
      </c>
      <c r="O42">
        <v>0.94997189400000004</v>
      </c>
      <c r="P42">
        <v>0.92299044399999997</v>
      </c>
      <c r="Q42">
        <v>0.738055087</v>
      </c>
      <c r="R42">
        <v>0.74592467699999998</v>
      </c>
      <c r="S42">
        <v>0.87802135999999997</v>
      </c>
      <c r="T42">
        <v>0.70713884199999999</v>
      </c>
      <c r="U42">
        <v>0.78021360299999998</v>
      </c>
      <c r="V42">
        <v>0.84373243399999998</v>
      </c>
      <c r="W42">
        <v>0.66104553099999996</v>
      </c>
    </row>
    <row r="43" spans="1:36">
      <c r="A43">
        <v>498</v>
      </c>
      <c r="B43" t="s">
        <v>113</v>
      </c>
      <c r="C43">
        <v>200</v>
      </c>
      <c r="D43" t="s">
        <v>114</v>
      </c>
      <c r="E43">
        <v>2016</v>
      </c>
      <c r="F43">
        <v>1</v>
      </c>
      <c r="G43">
        <v>0.80035335699999999</v>
      </c>
      <c r="H43">
        <v>0.46819788000000001</v>
      </c>
      <c r="I43">
        <v>0.46996466399999998</v>
      </c>
      <c r="J43">
        <v>0.37809187300000002</v>
      </c>
      <c r="K43">
        <v>0.40812720800000002</v>
      </c>
      <c r="L43">
        <v>0.35512367500000003</v>
      </c>
    </row>
    <row r="44" spans="1:36">
      <c r="A44">
        <v>512</v>
      </c>
      <c r="B44" t="s">
        <v>113</v>
      </c>
      <c r="C44">
        <v>200</v>
      </c>
      <c r="D44" t="s">
        <v>114</v>
      </c>
      <c r="E44">
        <v>2011</v>
      </c>
      <c r="F44">
        <v>1</v>
      </c>
      <c r="G44">
        <v>1.1149425289999999</v>
      </c>
      <c r="H44">
        <v>0.92282430199999999</v>
      </c>
      <c r="I44">
        <v>0.51395730699999997</v>
      </c>
      <c r="J44" s="24">
        <v>0.287356322</v>
      </c>
      <c r="K44">
        <v>0.33661740600000001</v>
      </c>
      <c r="L44">
        <v>0.31855500799999997</v>
      </c>
      <c r="M44">
        <v>0.33333333300000001</v>
      </c>
      <c r="N44">
        <v>0.37931034499999999</v>
      </c>
      <c r="O44">
        <v>0.353037767</v>
      </c>
      <c r="P44">
        <v>0.517241379</v>
      </c>
      <c r="Q44">
        <v>0.46962233199999998</v>
      </c>
    </row>
    <row r="45" spans="1:36">
      <c r="A45">
        <v>513</v>
      </c>
      <c r="B45" t="s">
        <v>113</v>
      </c>
      <c r="C45">
        <v>300</v>
      </c>
      <c r="D45" t="s">
        <v>114</v>
      </c>
      <c r="E45">
        <v>2015</v>
      </c>
      <c r="F45">
        <v>1</v>
      </c>
      <c r="G45">
        <v>0.67601056299999995</v>
      </c>
      <c r="H45">
        <v>0.66341661600000001</v>
      </c>
      <c r="I45">
        <v>0.36766199500000002</v>
      </c>
      <c r="J45">
        <v>0.39183424700000002</v>
      </c>
      <c r="K45">
        <v>0.32988015399999998</v>
      </c>
      <c r="L45">
        <v>0.31302051600000003</v>
      </c>
      <c r="M45">
        <v>0.29941092800000002</v>
      </c>
    </row>
    <row r="46" spans="1:36">
      <c r="A46">
        <v>534</v>
      </c>
      <c r="B46" t="s">
        <v>113</v>
      </c>
      <c r="C46">
        <v>480</v>
      </c>
      <c r="D46" t="s">
        <v>114</v>
      </c>
      <c r="E46">
        <v>2009</v>
      </c>
      <c r="F46">
        <v>1</v>
      </c>
      <c r="G46">
        <v>0.99562682199999997</v>
      </c>
      <c r="H46">
        <v>0.98921282799999999</v>
      </c>
      <c r="I46">
        <v>0.96676384800000004</v>
      </c>
      <c r="J46">
        <v>0.94081632699999995</v>
      </c>
      <c r="K46">
        <v>0.904081633</v>
      </c>
      <c r="L46">
        <v>0.88658892099999997</v>
      </c>
      <c r="M46">
        <v>0.75889212800000005</v>
      </c>
      <c r="N46">
        <v>0.70932944600000003</v>
      </c>
      <c r="O46">
        <v>0.65655976699999996</v>
      </c>
      <c r="P46">
        <v>0.653061224</v>
      </c>
      <c r="Q46">
        <v>0.67084548099999997</v>
      </c>
      <c r="R46">
        <v>0.64023323600000004</v>
      </c>
      <c r="S46">
        <v>0.59125364400000002</v>
      </c>
    </row>
    <row r="47" spans="1:36">
      <c r="A47">
        <v>535</v>
      </c>
      <c r="B47" t="s">
        <v>113</v>
      </c>
      <c r="C47">
        <v>1200</v>
      </c>
      <c r="D47" t="s">
        <v>114</v>
      </c>
      <c r="E47">
        <v>2016</v>
      </c>
      <c r="F47">
        <v>1</v>
      </c>
      <c r="G47">
        <v>0.93578658800000003</v>
      </c>
      <c r="H47">
        <v>0.83150569399999996</v>
      </c>
      <c r="I47">
        <v>0.70181358100000002</v>
      </c>
      <c r="J47" s="24">
        <v>0.55166596400000001</v>
      </c>
      <c r="K47">
        <v>0.56822015999999997</v>
      </c>
      <c r="L47">
        <v>0.62547448299999997</v>
      </c>
    </row>
    <row r="48" spans="1:36">
      <c r="A48" s="30">
        <v>557</v>
      </c>
      <c r="B48" t="s">
        <v>113</v>
      </c>
      <c r="C48">
        <v>200</v>
      </c>
      <c r="D48" t="s">
        <v>114</v>
      </c>
      <c r="E48">
        <v>1997</v>
      </c>
      <c r="F48">
        <v>1</v>
      </c>
      <c r="G48">
        <v>0.93939393900000001</v>
      </c>
      <c r="H48">
        <v>0.98368298399999998</v>
      </c>
      <c r="I48">
        <v>0.97202797200000002</v>
      </c>
      <c r="J48">
        <v>0.94638694599999995</v>
      </c>
      <c r="K48">
        <v>0.77389277400000001</v>
      </c>
      <c r="L48">
        <v>0.470862471</v>
      </c>
      <c r="M48">
        <v>1.1118881119999999</v>
      </c>
      <c r="N48">
        <v>1.0116550120000001</v>
      </c>
      <c r="O48">
        <v>0.54312354299999999</v>
      </c>
      <c r="P48">
        <v>0.484848485</v>
      </c>
      <c r="Q48">
        <v>0.79953379999999996</v>
      </c>
      <c r="R48">
        <v>0.29603729600000001</v>
      </c>
      <c r="S48">
        <v>0.28205128200000001</v>
      </c>
      <c r="T48">
        <v>0.75990676000000001</v>
      </c>
      <c r="U48">
        <v>0.13986013999999999</v>
      </c>
      <c r="V48">
        <v>3.2634033E-2</v>
      </c>
      <c r="W48">
        <v>0.123543124</v>
      </c>
      <c r="X48">
        <v>0.24941724900000001</v>
      </c>
      <c r="Y48">
        <v>4.4289044E-2</v>
      </c>
      <c r="Z48">
        <v>4.8951049000000003E-2</v>
      </c>
      <c r="AA48">
        <v>4.6620046999999998E-2</v>
      </c>
      <c r="AB48">
        <v>5.8275057999999998E-2</v>
      </c>
      <c r="AC48">
        <v>5.1282051000000002E-2</v>
      </c>
      <c r="AD48">
        <v>4.4289044E-2</v>
      </c>
      <c r="AE48">
        <v>4.8951049000000003E-2</v>
      </c>
    </row>
    <row r="49" spans="1:42">
      <c r="A49">
        <v>560</v>
      </c>
      <c r="B49" t="s">
        <v>113</v>
      </c>
      <c r="C49">
        <v>440</v>
      </c>
      <c r="D49" t="s">
        <v>114</v>
      </c>
      <c r="E49">
        <v>2007</v>
      </c>
      <c r="F49">
        <v>1</v>
      </c>
      <c r="G49">
        <v>0.88588196900000005</v>
      </c>
      <c r="H49">
        <v>0.76214541899999999</v>
      </c>
      <c r="I49">
        <v>0.76785132099999998</v>
      </c>
      <c r="J49">
        <v>0.59439191400000002</v>
      </c>
      <c r="K49">
        <v>0.56993804999999997</v>
      </c>
      <c r="L49">
        <v>0.58787088399999998</v>
      </c>
      <c r="M49">
        <v>0.59015324400000002</v>
      </c>
      <c r="N49">
        <v>0.48157808899999999</v>
      </c>
      <c r="O49">
        <v>0.40251059700000003</v>
      </c>
      <c r="P49">
        <v>0.47603521399999998</v>
      </c>
      <c r="Q49">
        <v>0.43104010399999998</v>
      </c>
      <c r="R49">
        <v>0.46739484799999997</v>
      </c>
      <c r="S49">
        <v>0.44799478300000001</v>
      </c>
      <c r="T49">
        <v>0.44343006200000001</v>
      </c>
      <c r="U49">
        <v>0.41555265699999999</v>
      </c>
    </row>
    <row r="50" spans="1:42">
      <c r="A50">
        <v>561</v>
      </c>
      <c r="B50" t="s">
        <v>113</v>
      </c>
      <c r="C50">
        <v>440</v>
      </c>
      <c r="D50" t="s">
        <v>114</v>
      </c>
      <c r="E50">
        <v>1997</v>
      </c>
      <c r="F50">
        <v>1</v>
      </c>
      <c r="G50">
        <v>1.0551371709999999</v>
      </c>
      <c r="H50">
        <v>0.69230769199999997</v>
      </c>
      <c r="I50">
        <v>0.86928456200000004</v>
      </c>
      <c r="J50">
        <v>0.80634749900000002</v>
      </c>
      <c r="K50">
        <v>0.76869284599999999</v>
      </c>
      <c r="L50">
        <v>0.490317375</v>
      </c>
      <c r="M50">
        <v>0.56589564299999995</v>
      </c>
      <c r="N50">
        <v>0.41231845099999997</v>
      </c>
      <c r="O50">
        <v>0.42872512099999999</v>
      </c>
      <c r="P50">
        <v>0.39618074199999997</v>
      </c>
      <c r="Q50">
        <v>0.40613232900000001</v>
      </c>
      <c r="R50">
        <v>0.35637439500000001</v>
      </c>
      <c r="S50">
        <v>0.35610543300000003</v>
      </c>
      <c r="T50">
        <v>0.406401291</v>
      </c>
      <c r="U50">
        <v>0.35852608899999999</v>
      </c>
      <c r="V50">
        <v>0.41393222200000002</v>
      </c>
      <c r="W50">
        <v>0.409090909</v>
      </c>
      <c r="X50">
        <v>0.350995159</v>
      </c>
      <c r="Y50">
        <v>0.35906401300000002</v>
      </c>
      <c r="Z50">
        <v>0.433566434</v>
      </c>
      <c r="AA50">
        <v>0.42200107599999997</v>
      </c>
      <c r="AB50">
        <v>0.416083916</v>
      </c>
      <c r="AC50">
        <v>0.41554599199999998</v>
      </c>
      <c r="AD50">
        <v>0.42495965600000002</v>
      </c>
      <c r="AE50">
        <v>0.39133942999999999</v>
      </c>
    </row>
    <row r="51" spans="1:42">
      <c r="A51">
        <v>568</v>
      </c>
      <c r="B51" t="s">
        <v>113</v>
      </c>
      <c r="C51">
        <v>740</v>
      </c>
      <c r="D51" t="s">
        <v>114</v>
      </c>
      <c r="E51">
        <v>2015</v>
      </c>
      <c r="F51">
        <v>1</v>
      </c>
      <c r="G51">
        <v>0.94626141699999999</v>
      </c>
      <c r="H51">
        <v>0.89642627100000005</v>
      </c>
      <c r="I51">
        <v>0.70000379000000001</v>
      </c>
      <c r="J51">
        <v>0.73896236800000004</v>
      </c>
      <c r="K51">
        <v>0.65016864399999996</v>
      </c>
      <c r="L51">
        <v>0.63777617799999997</v>
      </c>
      <c r="M51">
        <v>0.56433092100000004</v>
      </c>
    </row>
    <row r="52" spans="1:42">
      <c r="A52">
        <v>590</v>
      </c>
      <c r="B52" t="s">
        <v>113</v>
      </c>
      <c r="C52">
        <v>420</v>
      </c>
      <c r="D52" t="s">
        <v>114</v>
      </c>
      <c r="E52">
        <v>1999</v>
      </c>
      <c r="F52">
        <v>1</v>
      </c>
      <c r="G52">
        <v>0.492111195</v>
      </c>
      <c r="H52">
        <v>0.43200601100000002</v>
      </c>
      <c r="I52">
        <v>0.43050338100000002</v>
      </c>
      <c r="J52">
        <v>0.41773102899999998</v>
      </c>
      <c r="K52">
        <v>0.41472576999999999</v>
      </c>
      <c r="L52">
        <v>0.37265214099999999</v>
      </c>
      <c r="M52" s="24">
        <v>0.36664162300000003</v>
      </c>
    </row>
    <row r="53" spans="1:42">
      <c r="A53" s="23">
        <v>617</v>
      </c>
      <c r="B53" t="s">
        <v>113</v>
      </c>
      <c r="C53">
        <v>200</v>
      </c>
      <c r="D53" t="s">
        <v>114</v>
      </c>
      <c r="E53">
        <v>1986</v>
      </c>
      <c r="F53">
        <v>1</v>
      </c>
      <c r="G53">
        <v>0.61160714299999996</v>
      </c>
      <c r="H53">
        <v>0.80654761900000005</v>
      </c>
      <c r="I53">
        <v>0.63988095199999995</v>
      </c>
      <c r="J53">
        <v>0.696428571</v>
      </c>
      <c r="K53">
        <v>0.64880952400000003</v>
      </c>
      <c r="L53">
        <v>0.54613095199999995</v>
      </c>
      <c r="M53">
        <v>0.241071429</v>
      </c>
      <c r="N53">
        <v>0.15625</v>
      </c>
      <c r="O53">
        <v>0.80059523799999999</v>
      </c>
      <c r="P53">
        <v>0.51339285700000004</v>
      </c>
      <c r="Q53">
        <v>0.66666666699999999</v>
      </c>
      <c r="R53">
        <v>0.62797619000000005</v>
      </c>
      <c r="S53">
        <v>0.72023809500000002</v>
      </c>
      <c r="T53">
        <v>0.75297619000000005</v>
      </c>
      <c r="U53">
        <v>0.741071429</v>
      </c>
      <c r="V53">
        <v>0.8125</v>
      </c>
      <c r="W53">
        <v>0.76785714299999996</v>
      </c>
      <c r="X53">
        <v>0.73065476200000001</v>
      </c>
      <c r="Y53">
        <v>0.70833333300000001</v>
      </c>
      <c r="Z53">
        <v>0.68005952400000003</v>
      </c>
      <c r="AA53">
        <v>0.65178571399999996</v>
      </c>
      <c r="AB53">
        <v>0.67261904800000005</v>
      </c>
      <c r="AC53">
        <v>0.67559523799999999</v>
      </c>
      <c r="AD53">
        <v>0.67708333300000001</v>
      </c>
      <c r="AE53">
        <v>0.66964285700000004</v>
      </c>
      <c r="AF53">
        <v>0.51488095199999995</v>
      </c>
      <c r="AG53">
        <v>0.31845238100000001</v>
      </c>
      <c r="AH53">
        <v>0.46428571400000002</v>
      </c>
      <c r="AI53">
        <v>0.61458333300000001</v>
      </c>
      <c r="AJ53">
        <v>0.63839285700000004</v>
      </c>
      <c r="AK53">
        <v>0.67559523799999999</v>
      </c>
      <c r="AL53">
        <v>0.62351190499999998</v>
      </c>
      <c r="AM53">
        <v>0.68005952400000003</v>
      </c>
      <c r="AN53">
        <v>0.68303571399999996</v>
      </c>
      <c r="AO53">
        <v>0.71428571399999996</v>
      </c>
      <c r="AP53">
        <v>0.71726190499999998</v>
      </c>
    </row>
    <row r="54" spans="1:42">
      <c r="A54">
        <v>620</v>
      </c>
      <c r="B54" t="s">
        <v>113</v>
      </c>
      <c r="C54">
        <v>200</v>
      </c>
      <c r="D54" t="s">
        <v>114</v>
      </c>
      <c r="E54">
        <v>2004</v>
      </c>
      <c r="F54">
        <v>1</v>
      </c>
      <c r="G54">
        <v>0.92146017700000005</v>
      </c>
      <c r="H54">
        <v>0.63384955799999998</v>
      </c>
      <c r="I54">
        <v>0.60176991199999996</v>
      </c>
      <c r="J54">
        <v>0.492256637</v>
      </c>
      <c r="K54">
        <v>0.36615044200000002</v>
      </c>
      <c r="L54">
        <v>0.771570796</v>
      </c>
      <c r="M54">
        <v>0.438053097</v>
      </c>
      <c r="N54">
        <v>0.50608407099999997</v>
      </c>
      <c r="O54">
        <v>0.50387168100000002</v>
      </c>
      <c r="P54">
        <v>0.59347345100000004</v>
      </c>
      <c r="Q54">
        <v>0.61172566399999995</v>
      </c>
      <c r="R54">
        <v>0.50719026499999997</v>
      </c>
      <c r="S54">
        <v>0.63440265500000004</v>
      </c>
      <c r="T54">
        <v>0.56803097300000005</v>
      </c>
      <c r="U54">
        <v>0.72511061899999996</v>
      </c>
      <c r="V54">
        <v>0.63938053100000003</v>
      </c>
      <c r="W54">
        <v>0.70409292000000001</v>
      </c>
      <c r="X54">
        <v>0.71073008800000004</v>
      </c>
    </row>
    <row r="55" spans="1:42">
      <c r="A55">
        <v>714</v>
      </c>
      <c r="B55" t="s">
        <v>113</v>
      </c>
      <c r="C55">
        <v>300</v>
      </c>
      <c r="D55" t="s">
        <v>114</v>
      </c>
      <c r="E55">
        <v>2000</v>
      </c>
      <c r="F55">
        <v>1</v>
      </c>
      <c r="G55">
        <v>0.75152749500000005</v>
      </c>
      <c r="H55">
        <v>0.60896130299999995</v>
      </c>
      <c r="I55">
        <v>0.53564154799999997</v>
      </c>
      <c r="J55">
        <v>0.49083503099999998</v>
      </c>
      <c r="K55">
        <v>0.39714867599999998</v>
      </c>
      <c r="L55">
        <v>0.40122199600000003</v>
      </c>
      <c r="M55">
        <v>0.57841140499999999</v>
      </c>
      <c r="N55">
        <v>0.48879837100000001</v>
      </c>
      <c r="O55">
        <v>0.51731160899999995</v>
      </c>
      <c r="P55">
        <v>0.49898166999999999</v>
      </c>
      <c r="Q55">
        <v>0.48065173100000003</v>
      </c>
      <c r="R55">
        <v>0.52953156800000001</v>
      </c>
      <c r="S55">
        <v>0.56008146599999997</v>
      </c>
      <c r="T55">
        <v>0.43584521399999998</v>
      </c>
      <c r="U55">
        <v>0.319755601</v>
      </c>
      <c r="V55">
        <v>0.240325866</v>
      </c>
      <c r="W55">
        <v>0.20773930800000001</v>
      </c>
      <c r="X55">
        <v>0.185336049</v>
      </c>
      <c r="Y55">
        <v>0.17718940899999999</v>
      </c>
      <c r="Z55">
        <v>0.21792260699999999</v>
      </c>
      <c r="AA55">
        <v>0.185336049</v>
      </c>
      <c r="AB55">
        <v>0.19551934800000001</v>
      </c>
    </row>
    <row r="56" spans="1:42">
      <c r="A56" s="23">
        <v>724</v>
      </c>
      <c r="B56" t="s">
        <v>113</v>
      </c>
      <c r="C56">
        <v>220</v>
      </c>
      <c r="D56" t="s">
        <v>114</v>
      </c>
      <c r="E56">
        <v>2014</v>
      </c>
      <c r="F56">
        <v>1</v>
      </c>
      <c r="G56">
        <v>0.95490716200000003</v>
      </c>
      <c r="H56">
        <v>1.680371353</v>
      </c>
      <c r="I56">
        <v>1.2838196289999999</v>
      </c>
      <c r="J56">
        <v>0.35676392600000001</v>
      </c>
      <c r="K56">
        <v>0.46551724100000003</v>
      </c>
      <c r="L56">
        <v>0.44960212199999999</v>
      </c>
      <c r="M56">
        <v>0.57161803700000002</v>
      </c>
      <c r="N56">
        <v>0.56498673700000002</v>
      </c>
    </row>
    <row r="57" spans="1:42">
      <c r="A57">
        <v>726</v>
      </c>
      <c r="B57" t="s">
        <v>113</v>
      </c>
      <c r="C57">
        <v>220</v>
      </c>
      <c r="D57" t="s">
        <v>114</v>
      </c>
      <c r="E57">
        <v>2013</v>
      </c>
      <c r="F57">
        <v>1</v>
      </c>
      <c r="G57">
        <v>0.97872340400000002</v>
      </c>
      <c r="H57">
        <v>1.212765957</v>
      </c>
      <c r="I57">
        <v>0.109929078</v>
      </c>
      <c r="J57">
        <v>0.113475177</v>
      </c>
      <c r="N57" s="24"/>
    </row>
    <row r="58" spans="1:42">
      <c r="A58">
        <v>743</v>
      </c>
      <c r="B58" t="s">
        <v>113</v>
      </c>
      <c r="C58">
        <v>201</v>
      </c>
      <c r="D58" t="s">
        <v>114</v>
      </c>
      <c r="E58">
        <v>2013</v>
      </c>
      <c r="F58">
        <v>1</v>
      </c>
      <c r="G58">
        <v>0.95253537700000002</v>
      </c>
      <c r="H58">
        <v>0.71845518900000005</v>
      </c>
      <c r="I58">
        <v>0.37234669799999998</v>
      </c>
      <c r="J58">
        <v>0.30925707499999999</v>
      </c>
      <c r="K58">
        <v>0.29245283</v>
      </c>
      <c r="L58">
        <v>0.30395047200000003</v>
      </c>
      <c r="M58">
        <v>0.31898584899999999</v>
      </c>
      <c r="N58">
        <v>0.32517688700000003</v>
      </c>
      <c r="O58">
        <v>0.28832547200000003</v>
      </c>
    </row>
    <row r="59" spans="1:42">
      <c r="A59">
        <v>750</v>
      </c>
      <c r="B59" t="s">
        <v>113</v>
      </c>
      <c r="C59">
        <v>201</v>
      </c>
      <c r="D59" t="s">
        <v>114</v>
      </c>
      <c r="E59">
        <v>2010</v>
      </c>
      <c r="F59">
        <v>1</v>
      </c>
      <c r="G59">
        <v>1.455284553</v>
      </c>
      <c r="H59">
        <v>1.1228545619999999</v>
      </c>
      <c r="I59">
        <v>1.0659439930000001</v>
      </c>
      <c r="J59">
        <v>0.91598915999999997</v>
      </c>
      <c r="K59">
        <v>0.74977416399999997</v>
      </c>
      <c r="L59" s="24">
        <v>0.22041553699999999</v>
      </c>
      <c r="M59">
        <v>0.24932249300000001</v>
      </c>
      <c r="N59">
        <v>0.27100270999999998</v>
      </c>
      <c r="O59">
        <v>0.288166215</v>
      </c>
      <c r="P59">
        <v>0.32249322499999999</v>
      </c>
      <c r="Q59">
        <v>0.42005420100000002</v>
      </c>
      <c r="R59">
        <v>0.36314363100000002</v>
      </c>
    </row>
    <row r="60" spans="1:42">
      <c r="A60">
        <v>772</v>
      </c>
      <c r="B60" t="s">
        <v>113</v>
      </c>
      <c r="C60">
        <v>274</v>
      </c>
      <c r="D60" t="s">
        <v>114</v>
      </c>
      <c r="E60">
        <v>1992</v>
      </c>
      <c r="F60">
        <v>1</v>
      </c>
      <c r="G60">
        <v>0.72114191100000002</v>
      </c>
      <c r="H60">
        <v>0.98841539099999998</v>
      </c>
      <c r="I60">
        <v>1.174596607</v>
      </c>
      <c r="J60">
        <v>1.017376914</v>
      </c>
      <c r="K60">
        <v>1.0810922629999999</v>
      </c>
      <c r="L60">
        <v>0.18452627199999999</v>
      </c>
      <c r="M60">
        <v>0.344228382</v>
      </c>
      <c r="N60">
        <v>0.49813818799999998</v>
      </c>
      <c r="O60">
        <v>0.42035581300000002</v>
      </c>
      <c r="P60">
        <v>0.35208936699999999</v>
      </c>
      <c r="Q60">
        <v>0.33140256499999998</v>
      </c>
      <c r="R60">
        <v>0.290442698</v>
      </c>
      <c r="S60">
        <v>0.25775755099999997</v>
      </c>
      <c r="T60">
        <v>0.33719486999999998</v>
      </c>
      <c r="U60">
        <v>0.45097228</v>
      </c>
      <c r="V60">
        <v>0.41001241199999999</v>
      </c>
      <c r="W60">
        <v>0.34298717400000001</v>
      </c>
      <c r="X60">
        <v>0.38932560999999999</v>
      </c>
      <c r="Y60">
        <v>0.33098882899999998</v>
      </c>
      <c r="Z60">
        <v>0.32064542800000001</v>
      </c>
      <c r="AA60">
        <v>0.27637567200000002</v>
      </c>
      <c r="AB60">
        <v>0.38353330600000002</v>
      </c>
      <c r="AC60">
        <v>0.29913115400000001</v>
      </c>
      <c r="AD60">
        <v>0.27141083999999999</v>
      </c>
      <c r="AE60">
        <v>0.31857674800000002</v>
      </c>
      <c r="AF60">
        <v>0.35084815899999999</v>
      </c>
      <c r="AG60">
        <v>0.31899048400000002</v>
      </c>
      <c r="AH60">
        <v>0.268100952</v>
      </c>
      <c r="AI60">
        <v>0.35415804699999998</v>
      </c>
      <c r="AJ60">
        <v>0.29458005799999998</v>
      </c>
    </row>
    <row r="61" spans="1:42">
      <c r="A61">
        <v>781</v>
      </c>
      <c r="B61" t="s">
        <v>113</v>
      </c>
      <c r="C61">
        <v>366</v>
      </c>
      <c r="D61" t="s">
        <v>114</v>
      </c>
      <c r="E61">
        <v>1998</v>
      </c>
      <c r="F61">
        <v>1</v>
      </c>
      <c r="G61">
        <v>0.91628494699999996</v>
      </c>
      <c r="H61">
        <v>0.84504817600000004</v>
      </c>
      <c r="I61">
        <v>0.818512083</v>
      </c>
      <c r="J61">
        <v>0.91502132400000002</v>
      </c>
      <c r="K61">
        <v>0.60290633400000004</v>
      </c>
      <c r="L61">
        <v>0.59800979300000001</v>
      </c>
      <c r="M61">
        <v>0.64855473100000005</v>
      </c>
      <c r="N61">
        <v>0.56799873599999995</v>
      </c>
      <c r="O61">
        <v>0.58869057000000002</v>
      </c>
      <c r="P61" s="24">
        <v>0.54098878500000003</v>
      </c>
      <c r="Q61">
        <v>0.75659453499999996</v>
      </c>
      <c r="R61">
        <v>0.70652345599999999</v>
      </c>
      <c r="S61">
        <v>0.50766071700000004</v>
      </c>
      <c r="T61">
        <v>0.68140893999999996</v>
      </c>
      <c r="U61">
        <v>0.66403411800000001</v>
      </c>
      <c r="V61">
        <v>0.92718369899999997</v>
      </c>
      <c r="W61">
        <v>0.86273890399999997</v>
      </c>
      <c r="X61">
        <v>0.64981835399999999</v>
      </c>
      <c r="Y61">
        <v>0.741115148</v>
      </c>
      <c r="Z61">
        <v>0.69625651600000005</v>
      </c>
      <c r="AA61">
        <v>0.64271047199999998</v>
      </c>
      <c r="AB61">
        <v>0.572579371</v>
      </c>
      <c r="AC61">
        <v>0.64381614300000001</v>
      </c>
      <c r="AD61">
        <v>0.53877744400000005</v>
      </c>
    </row>
    <row r="62" spans="1:42">
      <c r="A62">
        <v>785</v>
      </c>
      <c r="B62" t="s">
        <v>113</v>
      </c>
      <c r="C62">
        <v>366</v>
      </c>
      <c r="D62" t="s">
        <v>114</v>
      </c>
      <c r="E62">
        <v>2018</v>
      </c>
      <c r="F62">
        <v>1</v>
      </c>
      <c r="G62">
        <v>0.95233299800000004</v>
      </c>
      <c r="H62">
        <v>0.59399127200000001</v>
      </c>
      <c r="I62">
        <v>0.64837193699999995</v>
      </c>
      <c r="J62">
        <v>0.41842900300000002</v>
      </c>
    </row>
    <row r="63" spans="1:42">
      <c r="A63">
        <v>12</v>
      </c>
      <c r="B63" t="s">
        <v>113</v>
      </c>
      <c r="C63">
        <v>200</v>
      </c>
      <c r="D63" t="s">
        <v>117</v>
      </c>
      <c r="E63">
        <v>1998</v>
      </c>
      <c r="F63">
        <v>1</v>
      </c>
      <c r="G63">
        <v>0.92850423299999996</v>
      </c>
      <c r="H63">
        <v>0.66039510800000001</v>
      </c>
      <c r="I63">
        <v>0.54844778900000002</v>
      </c>
      <c r="J63">
        <v>0.57384760099999998</v>
      </c>
      <c r="K63">
        <v>0.53245531499999998</v>
      </c>
      <c r="L63">
        <v>0.730950141</v>
      </c>
      <c r="M63">
        <v>0.51175917199999998</v>
      </c>
      <c r="N63">
        <v>0.49012229499999999</v>
      </c>
      <c r="O63">
        <v>0.58325493900000003</v>
      </c>
      <c r="P63">
        <v>0.57855126999999995</v>
      </c>
      <c r="Q63">
        <v>0.54374412000000005</v>
      </c>
      <c r="R63">
        <v>0.497648166</v>
      </c>
      <c r="S63">
        <v>0.52681091300000005</v>
      </c>
      <c r="T63">
        <v>0.481655691</v>
      </c>
      <c r="U63">
        <v>0.50235183400000005</v>
      </c>
      <c r="V63">
        <v>0.481655691</v>
      </c>
      <c r="W63">
        <v>0.46001881500000003</v>
      </c>
      <c r="X63">
        <v>0.44496707400000002</v>
      </c>
      <c r="Y63">
        <v>0.41110065899999998</v>
      </c>
      <c r="Z63">
        <v>0.455315146</v>
      </c>
      <c r="AA63" s="24">
        <v>0.350893697</v>
      </c>
    </row>
    <row r="64" spans="1:42">
      <c r="A64" s="23">
        <v>42</v>
      </c>
      <c r="B64" t="s">
        <v>113</v>
      </c>
      <c r="C64">
        <v>200</v>
      </c>
      <c r="D64" t="s">
        <v>117</v>
      </c>
      <c r="E64">
        <v>2003</v>
      </c>
      <c r="F64">
        <v>1</v>
      </c>
      <c r="G64">
        <v>0.83286119000000003</v>
      </c>
      <c r="H64">
        <v>0.59773371099999995</v>
      </c>
      <c r="I64">
        <v>0.56657223800000001</v>
      </c>
      <c r="K64">
        <v>0.34844192600000001</v>
      </c>
    </row>
    <row r="65" spans="1:34">
      <c r="A65">
        <v>45</v>
      </c>
      <c r="B65" t="s">
        <v>113</v>
      </c>
      <c r="C65">
        <v>200</v>
      </c>
      <c r="D65" t="s">
        <v>117</v>
      </c>
      <c r="E65">
        <v>2002</v>
      </c>
      <c r="F65">
        <v>1</v>
      </c>
      <c r="G65">
        <v>0.45403377099999997</v>
      </c>
      <c r="H65">
        <v>0.54221388400000003</v>
      </c>
      <c r="I65">
        <v>0.43714821799999998</v>
      </c>
      <c r="J65">
        <v>0.50281425899999999</v>
      </c>
      <c r="K65">
        <v>0.470919325</v>
      </c>
      <c r="L65">
        <v>0.44090056300000002</v>
      </c>
      <c r="M65">
        <v>0.31707317099999999</v>
      </c>
      <c r="N65" s="24">
        <v>0.29643527200000003</v>
      </c>
    </row>
    <row r="66" spans="1:34">
      <c r="A66" s="23">
        <v>46</v>
      </c>
      <c r="B66" t="s">
        <v>113</v>
      </c>
      <c r="C66">
        <v>200</v>
      </c>
      <c r="D66" t="s">
        <v>117</v>
      </c>
      <c r="E66">
        <v>2006</v>
      </c>
      <c r="F66">
        <v>1</v>
      </c>
      <c r="G66">
        <v>0.89799331100000002</v>
      </c>
      <c r="H66">
        <v>0.90468227400000001</v>
      </c>
      <c r="I66">
        <v>0.660535117</v>
      </c>
      <c r="J66">
        <v>0.91304347799999996</v>
      </c>
      <c r="K66">
        <v>0.82274247499999997</v>
      </c>
      <c r="L66">
        <v>0.56521739100000001</v>
      </c>
      <c r="M66">
        <v>0.32943143800000002</v>
      </c>
      <c r="N66">
        <v>0.72742474899999998</v>
      </c>
      <c r="O66">
        <v>0.92307692299999999</v>
      </c>
      <c r="P66">
        <v>0.75752508399999996</v>
      </c>
      <c r="Q66">
        <v>0.66889632099999996</v>
      </c>
      <c r="R66">
        <v>0.82943143799999997</v>
      </c>
      <c r="S66">
        <v>0.71070234099999996</v>
      </c>
      <c r="T66">
        <v>0.42642140499999998</v>
      </c>
      <c r="U66">
        <v>0.36287625400000001</v>
      </c>
      <c r="V66">
        <v>0.27257525100000002</v>
      </c>
    </row>
    <row r="67" spans="1:34">
      <c r="A67">
        <v>48</v>
      </c>
      <c r="B67" t="s">
        <v>113</v>
      </c>
      <c r="C67">
        <v>200</v>
      </c>
      <c r="D67" t="s">
        <v>117</v>
      </c>
      <c r="E67">
        <v>2019</v>
      </c>
      <c r="F67">
        <v>1</v>
      </c>
      <c r="G67">
        <v>0.90716803800000001</v>
      </c>
      <c r="H67">
        <v>0.82608695700000001</v>
      </c>
      <c r="I67">
        <v>0.55346651000000002</v>
      </c>
    </row>
    <row r="68" spans="1:34">
      <c r="A68" s="31">
        <v>52</v>
      </c>
      <c r="B68" t="s">
        <v>113</v>
      </c>
      <c r="C68" s="31">
        <v>200</v>
      </c>
      <c r="D68" s="31" t="s">
        <v>117</v>
      </c>
      <c r="E68" s="31">
        <v>2010</v>
      </c>
      <c r="F68">
        <v>1</v>
      </c>
      <c r="G68">
        <v>0.253796095</v>
      </c>
      <c r="H68">
        <v>0.50325379599999998</v>
      </c>
      <c r="I68">
        <v>0.64208242999999998</v>
      </c>
      <c r="J68">
        <v>0.95661605199999999</v>
      </c>
      <c r="K68">
        <v>0.96529284199999998</v>
      </c>
      <c r="L68">
        <v>0.93275488100000004</v>
      </c>
      <c r="M68">
        <v>0.85900216900000004</v>
      </c>
      <c r="N68">
        <v>0.90889370899999999</v>
      </c>
      <c r="O68">
        <v>0.71149674600000001</v>
      </c>
      <c r="P68">
        <v>0.353579176</v>
      </c>
      <c r="Q68">
        <v>0.56616052100000003</v>
      </c>
      <c r="R68">
        <v>0.50542299300000004</v>
      </c>
    </row>
    <row r="69" spans="1:34">
      <c r="A69" s="23">
        <v>56</v>
      </c>
      <c r="B69" t="s">
        <v>113</v>
      </c>
      <c r="C69">
        <v>200</v>
      </c>
      <c r="D69" t="s">
        <v>117</v>
      </c>
      <c r="E69">
        <v>1997</v>
      </c>
      <c r="F69">
        <v>1</v>
      </c>
      <c r="G69">
        <v>0.54270462600000002</v>
      </c>
      <c r="H69">
        <v>0.73487544500000002</v>
      </c>
      <c r="I69">
        <v>0.68327402100000001</v>
      </c>
      <c r="J69">
        <v>0.53558718900000002</v>
      </c>
      <c r="K69">
        <v>0.45551601400000002</v>
      </c>
      <c r="L69">
        <v>0.323843416</v>
      </c>
      <c r="M69">
        <v>0.20462633499999999</v>
      </c>
      <c r="N69">
        <v>0.12633452000000001</v>
      </c>
    </row>
    <row r="70" spans="1:34">
      <c r="A70" s="23">
        <v>87</v>
      </c>
      <c r="B70" t="s">
        <v>113</v>
      </c>
      <c r="C70">
        <v>200</v>
      </c>
      <c r="D70" t="s">
        <v>117</v>
      </c>
      <c r="E70">
        <v>2005</v>
      </c>
      <c r="F70">
        <v>1</v>
      </c>
      <c r="G70">
        <v>1.0040983610000001</v>
      </c>
      <c r="H70">
        <v>1.0122950820000001</v>
      </c>
      <c r="I70">
        <v>0.97131147500000004</v>
      </c>
      <c r="J70">
        <v>0.99180327899999998</v>
      </c>
      <c r="K70">
        <v>1.0122950820000001</v>
      </c>
      <c r="L70">
        <v>1.0204918030000001</v>
      </c>
      <c r="M70">
        <v>0.86475409800000003</v>
      </c>
      <c r="N70">
        <v>1.008196721</v>
      </c>
      <c r="O70">
        <v>0.91803278700000002</v>
      </c>
      <c r="P70">
        <v>0.954918033</v>
      </c>
      <c r="Q70">
        <v>0.98360655699999999</v>
      </c>
      <c r="R70">
        <v>0.98360655699999999</v>
      </c>
      <c r="S70">
        <v>1.008196721</v>
      </c>
      <c r="T70">
        <v>1.0163934429999999</v>
      </c>
      <c r="U70">
        <v>1.0163934429999999</v>
      </c>
      <c r="V70">
        <v>0.88934426200000005</v>
      </c>
      <c r="W70">
        <v>0.88524590199999997</v>
      </c>
    </row>
    <row r="71" spans="1:34">
      <c r="A71" s="23">
        <v>137</v>
      </c>
      <c r="B71" t="s">
        <v>113</v>
      </c>
      <c r="C71">
        <v>200</v>
      </c>
      <c r="D71" t="s">
        <v>117</v>
      </c>
      <c r="E71">
        <v>2015</v>
      </c>
      <c r="F71">
        <v>1</v>
      </c>
      <c r="G71">
        <v>0.98108746999999996</v>
      </c>
      <c r="H71">
        <v>0.96453900699999995</v>
      </c>
      <c r="I71">
        <v>0.93853427899999997</v>
      </c>
      <c r="J71">
        <v>1.0165484629999999</v>
      </c>
      <c r="K71">
        <v>1.0023640659999999</v>
      </c>
      <c r="L71">
        <v>0.93380614699999998</v>
      </c>
      <c r="M71">
        <v>0.97399527200000002</v>
      </c>
    </row>
    <row r="72" spans="1:34">
      <c r="A72">
        <v>163</v>
      </c>
      <c r="B72" t="s">
        <v>113</v>
      </c>
      <c r="C72">
        <v>240</v>
      </c>
      <c r="D72" t="s">
        <v>117</v>
      </c>
      <c r="E72">
        <v>2012</v>
      </c>
      <c r="F72">
        <v>1</v>
      </c>
      <c r="G72">
        <v>0.59602648999999996</v>
      </c>
      <c r="H72">
        <v>0.96688741700000003</v>
      </c>
      <c r="I72">
        <v>0.82781457000000003</v>
      </c>
      <c r="J72">
        <v>0.45695364199999999</v>
      </c>
      <c r="K72">
        <v>0.49006622500000002</v>
      </c>
      <c r="L72">
        <v>0.45033112600000003</v>
      </c>
      <c r="M72" s="24">
        <v>0.43046357600000001</v>
      </c>
      <c r="N72">
        <v>0.58278145699999995</v>
      </c>
      <c r="O72">
        <v>0.63576158900000002</v>
      </c>
      <c r="P72">
        <v>0.60264900700000001</v>
      </c>
    </row>
    <row r="73" spans="1:34">
      <c r="A73">
        <v>164</v>
      </c>
      <c r="B73" t="s">
        <v>113</v>
      </c>
      <c r="C73">
        <v>200</v>
      </c>
      <c r="D73" t="s">
        <v>117</v>
      </c>
      <c r="E73">
        <v>2012</v>
      </c>
      <c r="F73">
        <v>1</v>
      </c>
      <c r="G73">
        <v>0.56947000000000003</v>
      </c>
      <c r="H73">
        <v>0.46311999999999998</v>
      </c>
      <c r="I73">
        <v>0.25901000000000002</v>
      </c>
      <c r="J73">
        <v>0.27787000000000001</v>
      </c>
      <c r="K73">
        <v>2.0580000000000001E-2</v>
      </c>
      <c r="L73">
        <v>3.0870000000000002E-2</v>
      </c>
      <c r="M73">
        <v>3.4299999999999999E-3</v>
      </c>
      <c r="N73">
        <v>3.4299999999999999E-3</v>
      </c>
    </row>
    <row r="74" spans="1:34">
      <c r="A74">
        <v>165</v>
      </c>
      <c r="B74" t="s">
        <v>113</v>
      </c>
      <c r="C74">
        <v>200</v>
      </c>
      <c r="D74" t="s">
        <v>117</v>
      </c>
      <c r="E74">
        <v>2011</v>
      </c>
      <c r="F74">
        <v>1</v>
      </c>
      <c r="G74">
        <v>0.95855312699999995</v>
      </c>
      <c r="H74">
        <v>0.74981160499999999</v>
      </c>
      <c r="I74">
        <v>0.450640543</v>
      </c>
      <c r="J74">
        <v>0.44009042999999998</v>
      </c>
      <c r="K74">
        <v>0.35267520699999999</v>
      </c>
      <c r="L74">
        <v>0.33986435599999998</v>
      </c>
      <c r="M74">
        <v>0.36096458199999998</v>
      </c>
      <c r="N74">
        <v>0.317256971</v>
      </c>
      <c r="O74">
        <v>0.25395629199999997</v>
      </c>
      <c r="P74">
        <v>0.32856066299999998</v>
      </c>
      <c r="Q74">
        <v>0.32479276600000001</v>
      </c>
    </row>
    <row r="75" spans="1:34">
      <c r="A75" s="23">
        <v>204</v>
      </c>
      <c r="B75" t="s">
        <v>113</v>
      </c>
      <c r="C75">
        <v>400</v>
      </c>
      <c r="D75" t="s">
        <v>117</v>
      </c>
      <c r="E75">
        <v>2004</v>
      </c>
      <c r="F75">
        <v>1</v>
      </c>
      <c r="G75">
        <v>0.87952697700000004</v>
      </c>
      <c r="H75">
        <v>0.64523281600000004</v>
      </c>
      <c r="I75">
        <v>0.51145602400000001</v>
      </c>
      <c r="J75">
        <v>0.46415373199999999</v>
      </c>
      <c r="L75">
        <v>0.24833702899999999</v>
      </c>
      <c r="M75">
        <v>0.209903917</v>
      </c>
      <c r="N75">
        <v>0.24759793099999999</v>
      </c>
      <c r="O75" s="32">
        <v>0.23872875099999999</v>
      </c>
      <c r="P75">
        <v>0.25129342199999999</v>
      </c>
      <c r="Q75">
        <v>0.24833702899999999</v>
      </c>
      <c r="R75">
        <v>0.25498891400000001</v>
      </c>
      <c r="S75">
        <v>0.29120473000000002</v>
      </c>
      <c r="T75">
        <v>0.29194382899999999</v>
      </c>
      <c r="U75">
        <v>0.30081300799999999</v>
      </c>
      <c r="V75">
        <v>0.297117517</v>
      </c>
      <c r="W75">
        <v>0.33037694000000001</v>
      </c>
      <c r="X75">
        <v>0.33481153000000002</v>
      </c>
    </row>
    <row r="76" spans="1:34">
      <c r="A76">
        <v>207</v>
      </c>
      <c r="B76" t="s">
        <v>113</v>
      </c>
      <c r="C76">
        <v>260</v>
      </c>
      <c r="D76" t="s">
        <v>117</v>
      </c>
      <c r="E76">
        <v>2002</v>
      </c>
      <c r="F76">
        <v>1</v>
      </c>
      <c r="G76">
        <v>0.89708141299999999</v>
      </c>
      <c r="H76">
        <v>0.91397849499999995</v>
      </c>
      <c r="I76">
        <v>0.92933947800000005</v>
      </c>
      <c r="J76">
        <v>0.88479262700000005</v>
      </c>
      <c r="K76">
        <v>0.87711213499999996</v>
      </c>
      <c r="L76">
        <v>0.87557603699999997</v>
      </c>
      <c r="M76">
        <v>0.83870967699999999</v>
      </c>
      <c r="N76">
        <v>0.837173579</v>
      </c>
      <c r="O76">
        <v>0.79416282599999999</v>
      </c>
      <c r="P76">
        <v>0.78033794199999995</v>
      </c>
      <c r="Q76">
        <v>0.72350230400000004</v>
      </c>
      <c r="R76">
        <v>0.67588325699999996</v>
      </c>
      <c r="S76">
        <v>0.63133640599999996</v>
      </c>
      <c r="T76">
        <v>0.61597542199999999</v>
      </c>
      <c r="U76">
        <v>0.59754224300000003</v>
      </c>
      <c r="V76">
        <v>0.57603686600000004</v>
      </c>
      <c r="W76">
        <v>0.54992319499999998</v>
      </c>
      <c r="X76">
        <v>0.533026114</v>
      </c>
      <c r="Y76">
        <v>0.52227342499999996</v>
      </c>
      <c r="Z76">
        <v>0.45314900200000002</v>
      </c>
    </row>
    <row r="77" spans="1:34">
      <c r="A77" s="29">
        <v>209</v>
      </c>
      <c r="B77" t="s">
        <v>113</v>
      </c>
      <c r="C77">
        <v>200</v>
      </c>
      <c r="D77" t="s">
        <v>117</v>
      </c>
      <c r="E77">
        <v>2004</v>
      </c>
    </row>
    <row r="78" spans="1:34">
      <c r="A78">
        <v>231</v>
      </c>
      <c r="B78" t="s">
        <v>113</v>
      </c>
      <c r="C78">
        <v>400</v>
      </c>
      <c r="D78" t="s">
        <v>117</v>
      </c>
      <c r="E78">
        <v>2008</v>
      </c>
      <c r="F78">
        <v>1</v>
      </c>
      <c r="G78">
        <v>0.97645211899999995</v>
      </c>
      <c r="I78">
        <v>0.84772370500000005</v>
      </c>
      <c r="J78">
        <v>0.70172684500000004</v>
      </c>
      <c r="K78">
        <v>0.47566719000000002</v>
      </c>
      <c r="L78">
        <v>0.46938775500000002</v>
      </c>
      <c r="M78">
        <v>0.49293563600000001</v>
      </c>
      <c r="N78">
        <v>0.44270015699999998</v>
      </c>
      <c r="O78">
        <v>0.428571429</v>
      </c>
      <c r="P78">
        <v>0.44270015699999998</v>
      </c>
      <c r="Q78">
        <v>0.40502354800000001</v>
      </c>
      <c r="R78">
        <v>0.328100471</v>
      </c>
      <c r="S78">
        <v>0.27158555699999998</v>
      </c>
      <c r="T78">
        <v>0.27472527499999999</v>
      </c>
    </row>
    <row r="79" spans="1:34">
      <c r="A79">
        <v>257</v>
      </c>
      <c r="B79" t="s">
        <v>113</v>
      </c>
      <c r="C79">
        <v>220</v>
      </c>
      <c r="D79" t="s">
        <v>117</v>
      </c>
      <c r="E79">
        <v>1994</v>
      </c>
      <c r="F79">
        <v>1</v>
      </c>
      <c r="G79">
        <v>1.121137206</v>
      </c>
      <c r="H79">
        <v>0.91718170600000004</v>
      </c>
      <c r="I79">
        <v>1.173053152</v>
      </c>
      <c r="J79">
        <v>0.83312731799999995</v>
      </c>
      <c r="K79">
        <v>0.81705809600000001</v>
      </c>
      <c r="L79">
        <v>0.80098887500000004</v>
      </c>
      <c r="M79">
        <v>0.78862793600000003</v>
      </c>
      <c r="N79">
        <v>0.62175525300000001</v>
      </c>
      <c r="O79">
        <v>0.59826946800000003</v>
      </c>
      <c r="P79">
        <v>0.48949320099999999</v>
      </c>
      <c r="Q79">
        <v>0.47713226199999997</v>
      </c>
      <c r="R79">
        <v>0.467243511</v>
      </c>
      <c r="S79">
        <v>0.447466007</v>
      </c>
      <c r="T79">
        <v>0.40543881300000001</v>
      </c>
      <c r="U79">
        <v>0.42521631599999998</v>
      </c>
      <c r="V79">
        <v>0.35475896200000001</v>
      </c>
      <c r="W79">
        <v>0.33992583399999998</v>
      </c>
      <c r="X79">
        <v>0.43139678599999998</v>
      </c>
      <c r="Y79">
        <v>0.32014833100000001</v>
      </c>
      <c r="Z79">
        <v>0.28924598299999998</v>
      </c>
      <c r="AA79">
        <v>0.27194066700000002</v>
      </c>
      <c r="AB79">
        <v>0.26946848000000001</v>
      </c>
      <c r="AC79">
        <v>0.29048207700000001</v>
      </c>
      <c r="AD79">
        <v>0.30655129800000003</v>
      </c>
      <c r="AE79">
        <v>0.30284301600000002</v>
      </c>
      <c r="AF79">
        <v>0.301606922</v>
      </c>
      <c r="AG79">
        <v>0.31891223699999999</v>
      </c>
      <c r="AH79">
        <v>0.31520395600000001</v>
      </c>
    </row>
    <row r="80" spans="1:34">
      <c r="A80">
        <v>261</v>
      </c>
      <c r="B80" t="s">
        <v>113</v>
      </c>
      <c r="C80">
        <v>260</v>
      </c>
      <c r="D80" t="s">
        <v>117</v>
      </c>
      <c r="E80">
        <v>2001</v>
      </c>
      <c r="F80">
        <v>1</v>
      </c>
      <c r="G80">
        <v>0.94241842600000003</v>
      </c>
      <c r="H80">
        <v>0.83685220699999996</v>
      </c>
      <c r="I80">
        <v>0.77255278299999997</v>
      </c>
      <c r="J80">
        <v>0.76487523999999996</v>
      </c>
      <c r="K80">
        <v>0.78886756199999997</v>
      </c>
      <c r="L80">
        <v>0.78310940500000004</v>
      </c>
      <c r="M80">
        <v>0.80038387700000002</v>
      </c>
      <c r="N80">
        <v>0.86276391600000002</v>
      </c>
      <c r="O80">
        <v>0.90690978899999997</v>
      </c>
      <c r="P80">
        <v>0.90211132400000005</v>
      </c>
      <c r="Q80">
        <v>0.84644913600000005</v>
      </c>
      <c r="R80">
        <v>0.888675624</v>
      </c>
      <c r="S80">
        <v>0.79846449100000005</v>
      </c>
      <c r="T80">
        <v>0.76967370400000001</v>
      </c>
      <c r="U80">
        <v>0.77639155500000001</v>
      </c>
      <c r="V80" s="24">
        <v>0.78214971200000005</v>
      </c>
    </row>
    <row r="81" spans="1:41">
      <c r="A81">
        <v>284</v>
      </c>
      <c r="B81" t="s">
        <v>113</v>
      </c>
      <c r="C81">
        <v>340</v>
      </c>
      <c r="D81" t="s">
        <v>117</v>
      </c>
      <c r="E81">
        <v>2011</v>
      </c>
      <c r="F81">
        <v>1</v>
      </c>
      <c r="G81">
        <v>1.0543175490000001</v>
      </c>
      <c r="H81">
        <v>1.027855153</v>
      </c>
      <c r="I81">
        <v>1.0271587740000001</v>
      </c>
      <c r="J81">
        <v>0.97771587699999996</v>
      </c>
      <c r="K81">
        <v>1.0062674089999999</v>
      </c>
      <c r="L81">
        <v>1.0222841229999999</v>
      </c>
      <c r="M81">
        <v>0.98676880199999994</v>
      </c>
      <c r="N81">
        <v>0.98746518100000003</v>
      </c>
      <c r="O81">
        <v>0.97423398299999997</v>
      </c>
      <c r="P81">
        <v>0.967270195</v>
      </c>
      <c r="Q81">
        <v>0.85863509699999996</v>
      </c>
    </row>
    <row r="82" spans="1:41">
      <c r="A82">
        <v>289</v>
      </c>
      <c r="B82" t="s">
        <v>113</v>
      </c>
      <c r="C82">
        <v>340</v>
      </c>
      <c r="D82" t="s">
        <v>117</v>
      </c>
      <c r="E82">
        <v>2012</v>
      </c>
      <c r="F82">
        <v>1</v>
      </c>
      <c r="G82">
        <v>0.98605516000000004</v>
      </c>
      <c r="H82">
        <v>0.95909513499999999</v>
      </c>
      <c r="I82">
        <v>0.92686705899999999</v>
      </c>
      <c r="J82">
        <v>0.90920359500000003</v>
      </c>
      <c r="K82">
        <v>0.92562751799999998</v>
      </c>
      <c r="L82">
        <v>0.88131391400000003</v>
      </c>
      <c r="M82">
        <v>0.86705918800000004</v>
      </c>
      <c r="N82">
        <v>0.86334056400000003</v>
      </c>
      <c r="O82">
        <v>0.83762008099999996</v>
      </c>
      <c r="P82">
        <v>0.73876665600000002</v>
      </c>
    </row>
    <row r="83" spans="1:41">
      <c r="A83">
        <v>290</v>
      </c>
      <c r="B83" t="s">
        <v>113</v>
      </c>
      <c r="C83">
        <v>340</v>
      </c>
      <c r="D83" t="s">
        <v>117</v>
      </c>
      <c r="E83">
        <v>2007</v>
      </c>
      <c r="F83">
        <v>1</v>
      </c>
      <c r="G83">
        <v>1.0395894429999999</v>
      </c>
      <c r="H83">
        <v>0.92961876799999998</v>
      </c>
      <c r="I83">
        <v>0.87145649999999997</v>
      </c>
      <c r="J83">
        <v>0.86070381200000001</v>
      </c>
      <c r="K83">
        <v>0.93890518099999998</v>
      </c>
      <c r="L83">
        <v>0.84799608999999998</v>
      </c>
      <c r="M83">
        <v>0.83822091899999995</v>
      </c>
      <c r="N83">
        <v>0.80694037100000005</v>
      </c>
      <c r="O83">
        <v>0.81378299099999996</v>
      </c>
      <c r="P83">
        <v>0.80938416400000002</v>
      </c>
      <c r="Q83">
        <v>0.79912023499999996</v>
      </c>
      <c r="R83">
        <v>0.74633431100000003</v>
      </c>
      <c r="S83">
        <v>0.74389051799999995</v>
      </c>
      <c r="T83">
        <v>0.73313782999999999</v>
      </c>
      <c r="U83">
        <v>0.61827957</v>
      </c>
    </row>
    <row r="84" spans="1:41">
      <c r="A84">
        <v>292</v>
      </c>
      <c r="B84" t="s">
        <v>113</v>
      </c>
      <c r="C84">
        <v>240</v>
      </c>
      <c r="D84" t="s">
        <v>117</v>
      </c>
      <c r="E84">
        <v>1989</v>
      </c>
      <c r="F84">
        <v>1</v>
      </c>
      <c r="G84">
        <v>1.435905929</v>
      </c>
      <c r="H84">
        <v>1.0980457109999999</v>
      </c>
      <c r="I84">
        <v>0.80423981499999997</v>
      </c>
      <c r="J84">
        <v>0.85425637600000004</v>
      </c>
      <c r="K84">
        <v>0.78834051000000005</v>
      </c>
      <c r="L84">
        <v>0.91818482899999998</v>
      </c>
      <c r="M84">
        <v>0.61642928100000005</v>
      </c>
      <c r="N84">
        <v>0.64325935700000003</v>
      </c>
      <c r="O84">
        <v>0.68333885400000005</v>
      </c>
      <c r="P84">
        <v>0.71182510799999998</v>
      </c>
      <c r="Q84">
        <v>0.66280225199999998</v>
      </c>
      <c r="R84">
        <v>1.0142431270000001</v>
      </c>
      <c r="S84">
        <v>0.68963232900000004</v>
      </c>
      <c r="T84">
        <v>0.85823120200000003</v>
      </c>
      <c r="U84">
        <v>0.78039085799999997</v>
      </c>
      <c r="V84">
        <v>0.80158993000000001</v>
      </c>
      <c r="W84">
        <v>0.80722093399999995</v>
      </c>
      <c r="X84">
        <v>0.70486916200000005</v>
      </c>
      <c r="Y84">
        <v>0.72242464399999995</v>
      </c>
      <c r="Z84">
        <v>0.68896985799999999</v>
      </c>
      <c r="AA84">
        <v>0.66843325600000003</v>
      </c>
      <c r="AB84">
        <v>0.83670089400000003</v>
      </c>
      <c r="AC84">
        <v>0.66644584299999998</v>
      </c>
      <c r="AD84">
        <v>0.635972176</v>
      </c>
      <c r="AE84">
        <v>0.64027823800000006</v>
      </c>
      <c r="AF84">
        <v>0.63862205999999999</v>
      </c>
      <c r="AG84">
        <v>0.618085459</v>
      </c>
      <c r="AH84">
        <v>0.59390526700000001</v>
      </c>
      <c r="AI84">
        <v>0.56409407099999997</v>
      </c>
      <c r="AJ84">
        <v>0.56508777700000001</v>
      </c>
      <c r="AK84">
        <v>0.53163299100000005</v>
      </c>
      <c r="AL84">
        <v>0.54620735300000001</v>
      </c>
      <c r="AM84">
        <v>0.58993044100000003</v>
      </c>
    </row>
    <row r="85" spans="1:41">
      <c r="A85" s="23">
        <v>293</v>
      </c>
      <c r="B85" t="s">
        <v>113</v>
      </c>
      <c r="C85">
        <v>280</v>
      </c>
      <c r="D85" t="s">
        <v>117</v>
      </c>
      <c r="E85">
        <v>2002</v>
      </c>
      <c r="F85">
        <v>1</v>
      </c>
      <c r="G85">
        <v>0.97423000000000004</v>
      </c>
      <c r="H85">
        <v>1.04742</v>
      </c>
      <c r="I85">
        <v>0.85474000000000006</v>
      </c>
      <c r="J85">
        <v>1.0291300000000001</v>
      </c>
      <c r="K85">
        <v>0.87490999999999997</v>
      </c>
      <c r="L85">
        <v>1.0552699999999999</v>
      </c>
      <c r="M85">
        <v>1.00149</v>
      </c>
      <c r="N85">
        <v>0.67437999999999998</v>
      </c>
      <c r="O85">
        <v>0.53361000000000003</v>
      </c>
      <c r="P85">
        <v>0.83718999999999999</v>
      </c>
      <c r="Q85">
        <v>0.84055000000000002</v>
      </c>
      <c r="R85">
        <v>0.85960000000000003</v>
      </c>
      <c r="S85">
        <v>0.71358999999999995</v>
      </c>
      <c r="T85">
        <v>0.67662</v>
      </c>
      <c r="U85">
        <v>0.73040000000000005</v>
      </c>
      <c r="V85">
        <v>0.70126999999999995</v>
      </c>
      <c r="W85">
        <v>0.74570999999999998</v>
      </c>
      <c r="X85">
        <v>0.70126999999999995</v>
      </c>
      <c r="Y85">
        <v>0.65422000000000002</v>
      </c>
      <c r="Z85">
        <v>0.51307000000000003</v>
      </c>
    </row>
    <row r="86" spans="1:41">
      <c r="A86" s="23">
        <v>294</v>
      </c>
      <c r="B86" t="s">
        <v>113</v>
      </c>
      <c r="C86">
        <v>280</v>
      </c>
      <c r="D86" t="s">
        <v>117</v>
      </c>
      <c r="E86">
        <v>1987</v>
      </c>
      <c r="F86">
        <v>1</v>
      </c>
      <c r="G86">
        <v>0.96252036900000004</v>
      </c>
      <c r="H86">
        <v>1.021184139</v>
      </c>
      <c r="I86">
        <v>0.88267246099999996</v>
      </c>
      <c r="J86">
        <v>1.0939706680000001</v>
      </c>
      <c r="K86">
        <v>1.2694187939999999</v>
      </c>
      <c r="L86">
        <v>0.84845192800000002</v>
      </c>
      <c r="M86">
        <v>0.86692015200000005</v>
      </c>
      <c r="N86">
        <v>0.953829441</v>
      </c>
      <c r="O86">
        <v>0.76860402000000005</v>
      </c>
      <c r="P86">
        <v>0.90059750100000002</v>
      </c>
      <c r="Q86">
        <v>0.90602933200000002</v>
      </c>
      <c r="R86">
        <v>0.87832699599999997</v>
      </c>
      <c r="S86">
        <v>0.78815860900000001</v>
      </c>
      <c r="T86">
        <v>0.95111352500000002</v>
      </c>
      <c r="U86">
        <v>0.80445410100000003</v>
      </c>
      <c r="V86">
        <v>0.79630635500000002</v>
      </c>
      <c r="W86">
        <v>0.80119500300000002</v>
      </c>
      <c r="X86">
        <v>0.77675176499999998</v>
      </c>
      <c r="Y86">
        <v>0.79033134199999999</v>
      </c>
      <c r="Z86">
        <v>0.79576317200000002</v>
      </c>
      <c r="AA86">
        <v>0.78164041299999998</v>
      </c>
      <c r="AB86">
        <v>0.79033134199999999</v>
      </c>
      <c r="AC86">
        <v>0.72677892399999999</v>
      </c>
      <c r="AD86">
        <v>0.71537207999999997</v>
      </c>
      <c r="AE86">
        <v>0.80662683300000004</v>
      </c>
      <c r="AF86">
        <v>0.74470396500000002</v>
      </c>
      <c r="AG86">
        <v>0.76208582300000005</v>
      </c>
      <c r="AH86">
        <v>0.75991309100000004</v>
      </c>
      <c r="AI86">
        <v>0.69799022300000002</v>
      </c>
      <c r="AJ86">
        <v>0.70722433500000004</v>
      </c>
      <c r="AK86">
        <v>0.70613796799999995</v>
      </c>
      <c r="AL86">
        <v>0.69961977200000003</v>
      </c>
      <c r="AM86">
        <v>0.687126562</v>
      </c>
      <c r="AN86">
        <v>0.681694731</v>
      </c>
      <c r="AO86">
        <v>0.65670831100000004</v>
      </c>
    </row>
    <row r="87" spans="1:41">
      <c r="A87">
        <v>295</v>
      </c>
      <c r="B87" t="s">
        <v>113</v>
      </c>
      <c r="C87">
        <v>280</v>
      </c>
      <c r="D87" t="s">
        <v>117</v>
      </c>
      <c r="E87">
        <v>1994</v>
      </c>
      <c r="F87">
        <v>1</v>
      </c>
      <c r="G87">
        <v>1.120758178</v>
      </c>
      <c r="H87">
        <v>0.905533476</v>
      </c>
      <c r="I87">
        <v>1.1216753290000001</v>
      </c>
      <c r="J87">
        <v>0.94007948600000002</v>
      </c>
      <c r="K87">
        <v>0.86640171200000005</v>
      </c>
      <c r="L87">
        <v>0.88535615999999995</v>
      </c>
      <c r="M87">
        <v>0.89666768600000002</v>
      </c>
      <c r="N87">
        <v>0.88780189499999995</v>
      </c>
      <c r="O87">
        <v>0.87526750200000003</v>
      </c>
      <c r="P87">
        <v>0.86915316399999998</v>
      </c>
      <c r="Q87">
        <v>0.88413329299999999</v>
      </c>
      <c r="R87">
        <v>0.88382757599999995</v>
      </c>
      <c r="S87">
        <v>0.87312748399999995</v>
      </c>
      <c r="T87">
        <v>0.83858147400000005</v>
      </c>
      <c r="U87">
        <v>0.84133292599999998</v>
      </c>
      <c r="V87">
        <v>0.81748700699999999</v>
      </c>
      <c r="W87">
        <v>0.79578110700000004</v>
      </c>
      <c r="X87">
        <v>0.82268419400000004</v>
      </c>
      <c r="Y87">
        <v>0.79822684200000005</v>
      </c>
      <c r="Z87">
        <v>0.80189544499999998</v>
      </c>
      <c r="AA87">
        <v>0.80648119799999995</v>
      </c>
      <c r="AB87">
        <v>0.75970651199999994</v>
      </c>
      <c r="AC87">
        <v>0.78936105199999995</v>
      </c>
      <c r="AD87">
        <v>0.78997248499999995</v>
      </c>
      <c r="AE87">
        <v>0.780495261</v>
      </c>
      <c r="AF87">
        <v>0.78263528000000004</v>
      </c>
      <c r="AG87">
        <v>0.74075206400000004</v>
      </c>
      <c r="AH87">
        <v>0.75450932400000004</v>
      </c>
    </row>
    <row r="88" spans="1:41">
      <c r="A88">
        <v>296</v>
      </c>
      <c r="B88" t="s">
        <v>113</v>
      </c>
      <c r="C88">
        <v>280</v>
      </c>
      <c r="D88" t="s">
        <v>117</v>
      </c>
      <c r="E88">
        <v>2006</v>
      </c>
      <c r="F88">
        <v>1</v>
      </c>
      <c r="G88">
        <v>0.97710487400000001</v>
      </c>
      <c r="H88">
        <v>0.93722304300000003</v>
      </c>
      <c r="I88">
        <v>0.95642540600000003</v>
      </c>
      <c r="J88">
        <v>0.83530280599999995</v>
      </c>
      <c r="K88">
        <v>0.90472673599999998</v>
      </c>
      <c r="L88">
        <v>0.87666174299999999</v>
      </c>
      <c r="M88">
        <v>0.858936484</v>
      </c>
      <c r="N88">
        <v>0.84416543600000005</v>
      </c>
      <c r="O88">
        <v>0.83825701600000002</v>
      </c>
      <c r="P88">
        <v>0.73559822699999999</v>
      </c>
      <c r="Q88">
        <v>0.78508124099999999</v>
      </c>
      <c r="R88">
        <v>0.73559822699999999</v>
      </c>
      <c r="S88">
        <v>0.72451994099999995</v>
      </c>
      <c r="T88">
        <v>0.65066469699999996</v>
      </c>
      <c r="U88">
        <v>0.692023634</v>
      </c>
      <c r="V88">
        <v>0.65583456399999995</v>
      </c>
    </row>
    <row r="89" spans="1:41">
      <c r="A89">
        <v>297</v>
      </c>
      <c r="B89" t="s">
        <v>113</v>
      </c>
      <c r="C89">
        <v>260</v>
      </c>
      <c r="D89" t="s">
        <v>117</v>
      </c>
      <c r="E89">
        <v>2014</v>
      </c>
      <c r="F89">
        <v>1</v>
      </c>
      <c r="G89">
        <v>0.98431665400000001</v>
      </c>
      <c r="H89">
        <v>0.84839432400000003</v>
      </c>
      <c r="I89">
        <v>0.72442121000000004</v>
      </c>
      <c r="J89">
        <v>0.74906646799999999</v>
      </c>
      <c r="K89">
        <v>0.82300224</v>
      </c>
      <c r="L89">
        <v>0.75578790100000004</v>
      </c>
      <c r="M89">
        <v>0.71321882000000003</v>
      </c>
      <c r="N89">
        <v>0.65048543700000006</v>
      </c>
    </row>
    <row r="90" spans="1:41">
      <c r="A90">
        <v>301</v>
      </c>
      <c r="B90" t="s">
        <v>113</v>
      </c>
      <c r="C90">
        <v>340</v>
      </c>
      <c r="D90" t="s">
        <v>117</v>
      </c>
      <c r="E90">
        <v>1987</v>
      </c>
      <c r="F90">
        <v>1</v>
      </c>
      <c r="G90">
        <v>0.96710526299999999</v>
      </c>
      <c r="H90">
        <v>0.99890350900000002</v>
      </c>
      <c r="I90">
        <v>0.962719298</v>
      </c>
      <c r="J90">
        <v>0.93092105300000005</v>
      </c>
      <c r="K90">
        <v>0.76754385999999997</v>
      </c>
      <c r="L90">
        <v>0.83991228100000004</v>
      </c>
      <c r="M90">
        <v>0.79495614000000003</v>
      </c>
      <c r="N90">
        <v>0.85197368399999995</v>
      </c>
      <c r="O90">
        <v>0.77960526299999999</v>
      </c>
      <c r="P90">
        <v>0.76973684200000003</v>
      </c>
      <c r="Q90">
        <v>0.72039473700000001</v>
      </c>
      <c r="R90">
        <v>0.76644736800000002</v>
      </c>
      <c r="S90">
        <v>0.74561403500000001</v>
      </c>
      <c r="T90">
        <v>0.78289473700000001</v>
      </c>
      <c r="U90">
        <v>0.74671052599999999</v>
      </c>
      <c r="V90">
        <v>0.75657894699999995</v>
      </c>
      <c r="W90">
        <v>0.75328947400000001</v>
      </c>
      <c r="X90">
        <v>0.71820175399999997</v>
      </c>
      <c r="Y90">
        <v>0.71929824600000003</v>
      </c>
      <c r="Z90">
        <v>0.75657894699999995</v>
      </c>
      <c r="AA90">
        <v>0.66118421100000002</v>
      </c>
      <c r="AB90">
        <v>0.67763157900000004</v>
      </c>
      <c r="AC90">
        <v>0.67982456099999999</v>
      </c>
      <c r="AD90">
        <v>0.57346491200000005</v>
      </c>
      <c r="AE90">
        <v>0.60307017500000004</v>
      </c>
      <c r="AF90">
        <v>0.574561404</v>
      </c>
      <c r="AG90">
        <v>0.58442982499999996</v>
      </c>
      <c r="AH90">
        <v>0.54057017500000004</v>
      </c>
      <c r="AI90">
        <v>0.50986842099999996</v>
      </c>
      <c r="AJ90">
        <v>0.46381578899999998</v>
      </c>
      <c r="AK90">
        <v>0.45175438600000001</v>
      </c>
      <c r="AL90">
        <v>0.49122807000000002</v>
      </c>
      <c r="AM90">
        <v>0.47039473700000001</v>
      </c>
      <c r="AN90">
        <v>0.51096491200000005</v>
      </c>
      <c r="AO90">
        <v>0.50109649099999998</v>
      </c>
    </row>
    <row r="91" spans="1:41">
      <c r="A91">
        <v>303</v>
      </c>
      <c r="B91" t="s">
        <v>113</v>
      </c>
      <c r="C91">
        <v>300</v>
      </c>
      <c r="D91" t="s">
        <v>117</v>
      </c>
      <c r="E91">
        <v>1994</v>
      </c>
      <c r="F91">
        <v>1</v>
      </c>
      <c r="G91">
        <v>1.0984375</v>
      </c>
      <c r="H91">
        <v>0.8</v>
      </c>
      <c r="I91">
        <v>0.91562500000000002</v>
      </c>
      <c r="J91">
        <v>0.64531249999999996</v>
      </c>
      <c r="K91">
        <v>0.6953125</v>
      </c>
      <c r="L91">
        <v>0.78749999999999998</v>
      </c>
      <c r="M91">
        <v>0.73906249999999996</v>
      </c>
      <c r="N91">
        <v>0.73124999999999996</v>
      </c>
      <c r="O91">
        <v>0.70937499999999998</v>
      </c>
      <c r="P91">
        <v>0.70781249999999996</v>
      </c>
      <c r="Q91">
        <v>0.74062499999999998</v>
      </c>
      <c r="R91">
        <v>0.74375000000000002</v>
      </c>
      <c r="S91">
        <v>0.6484375</v>
      </c>
      <c r="T91">
        <v>0.62812500000000004</v>
      </c>
      <c r="U91">
        <v>0.6484375</v>
      </c>
      <c r="V91">
        <v>0.64375000000000004</v>
      </c>
      <c r="W91">
        <v>0.61406249999999996</v>
      </c>
      <c r="X91">
        <v>0.66093749999999996</v>
      </c>
      <c r="Y91">
        <v>0.6171875</v>
      </c>
      <c r="Z91">
        <v>0.60312500000000002</v>
      </c>
      <c r="AA91">
        <v>0.6171875</v>
      </c>
      <c r="AB91">
        <v>0.61250000000000004</v>
      </c>
      <c r="AC91">
        <v>0.61875000000000002</v>
      </c>
      <c r="AD91">
        <v>0.60312500000000002</v>
      </c>
      <c r="AE91">
        <v>0.609375</v>
      </c>
      <c r="AF91">
        <v>0.5703125</v>
      </c>
      <c r="AG91">
        <v>0.62968749999999996</v>
      </c>
      <c r="AH91">
        <v>0.37656250000000002</v>
      </c>
    </row>
    <row r="92" spans="1:41">
      <c r="A92" s="23">
        <v>304</v>
      </c>
      <c r="B92" t="s">
        <v>113</v>
      </c>
      <c r="C92">
        <v>300</v>
      </c>
      <c r="D92" t="s">
        <v>117</v>
      </c>
      <c r="E92">
        <v>1992</v>
      </c>
      <c r="F92">
        <v>1</v>
      </c>
      <c r="G92">
        <v>1.1497354500000001</v>
      </c>
      <c r="H92">
        <v>1.1566137569999999</v>
      </c>
      <c r="I92">
        <v>1.354497354</v>
      </c>
      <c r="J92">
        <v>1.138095238</v>
      </c>
      <c r="K92">
        <v>1.205820106</v>
      </c>
      <c r="L92">
        <v>0.84920634900000003</v>
      </c>
      <c r="M92">
        <v>0.85396825399999998</v>
      </c>
      <c r="N92">
        <v>0.91481481499999995</v>
      </c>
      <c r="O92">
        <v>0.84920634900000003</v>
      </c>
      <c r="P92">
        <v>0.89047619</v>
      </c>
      <c r="Q92">
        <v>0.83333333300000001</v>
      </c>
      <c r="R92">
        <v>0.917989418</v>
      </c>
      <c r="S92">
        <v>0.92698412699999999</v>
      </c>
      <c r="T92">
        <v>0.94603174599999995</v>
      </c>
      <c r="U92">
        <v>0.82328042300000004</v>
      </c>
      <c r="V92">
        <v>0.74550264600000005</v>
      </c>
      <c r="W92">
        <v>0.69259259299999998</v>
      </c>
      <c r="X92">
        <v>0.71269841300000003</v>
      </c>
      <c r="Y92">
        <v>0.680952381</v>
      </c>
      <c r="Z92">
        <v>0.83703703699999998</v>
      </c>
      <c r="AA92">
        <v>0.73121693099999996</v>
      </c>
      <c r="AB92">
        <v>0.78624338599999999</v>
      </c>
      <c r="AC92">
        <v>0.71587301599999997</v>
      </c>
      <c r="AD92">
        <v>0.53862433899999995</v>
      </c>
      <c r="AE92">
        <v>0.79788359799999997</v>
      </c>
      <c r="AF92">
        <v>0.73544973499999999</v>
      </c>
      <c r="AG92">
        <v>0.46825396800000002</v>
      </c>
      <c r="AH92">
        <v>0.46402116399999999</v>
      </c>
      <c r="AI92">
        <v>0.33068783099999999</v>
      </c>
      <c r="AJ92">
        <v>0.33439153399999999</v>
      </c>
    </row>
    <row r="93" spans="1:41">
      <c r="A93">
        <v>310</v>
      </c>
      <c r="B93" t="s">
        <v>113</v>
      </c>
      <c r="C93">
        <v>260</v>
      </c>
      <c r="D93" t="s">
        <v>117</v>
      </c>
      <c r="E93">
        <v>2008</v>
      </c>
      <c r="F93">
        <v>1</v>
      </c>
      <c r="G93">
        <v>0.90562770599999998</v>
      </c>
      <c r="H93">
        <v>0.95064935100000003</v>
      </c>
      <c r="I93">
        <v>0.84155844199999996</v>
      </c>
      <c r="J93">
        <v>0.79134199100000002</v>
      </c>
      <c r="K93">
        <v>0.82597402600000003</v>
      </c>
      <c r="L93">
        <v>0.81645021600000001</v>
      </c>
      <c r="M93">
        <v>0.81991342</v>
      </c>
      <c r="N93">
        <v>0.821645022</v>
      </c>
      <c r="O93">
        <v>0.81471861499999998</v>
      </c>
      <c r="P93">
        <v>0.82424242400000003</v>
      </c>
      <c r="Q93">
        <v>0.76363636400000001</v>
      </c>
      <c r="R93">
        <v>0.80086580100000004</v>
      </c>
      <c r="S93">
        <v>0.82597402600000003</v>
      </c>
      <c r="T93">
        <v>0.73679653700000003</v>
      </c>
    </row>
    <row r="94" spans="1:41">
      <c r="A94" s="23">
        <v>370</v>
      </c>
      <c r="B94" t="s">
        <v>113</v>
      </c>
      <c r="C94">
        <v>400</v>
      </c>
      <c r="D94" t="s">
        <v>117</v>
      </c>
      <c r="E94">
        <v>1987</v>
      </c>
      <c r="F94">
        <v>1</v>
      </c>
      <c r="G94">
        <v>0.37895050699999999</v>
      </c>
      <c r="H94">
        <v>0.84138342300000002</v>
      </c>
      <c r="I94">
        <v>0.67501490799999997</v>
      </c>
      <c r="J94">
        <v>0.61121049500000002</v>
      </c>
      <c r="K94">
        <v>0.96243291600000003</v>
      </c>
      <c r="L94">
        <v>0.61150864599999999</v>
      </c>
      <c r="M94">
        <v>0.532796661</v>
      </c>
      <c r="N94">
        <v>1.1574239710000001</v>
      </c>
      <c r="O94">
        <v>0.508944544</v>
      </c>
      <c r="P94">
        <v>0.48270721500000002</v>
      </c>
      <c r="Q94">
        <v>0.49314251599999998</v>
      </c>
      <c r="R94">
        <v>0.48330351799999999</v>
      </c>
      <c r="S94">
        <v>0.48628503299999998</v>
      </c>
      <c r="T94">
        <v>0.46958855100000002</v>
      </c>
      <c r="U94">
        <v>0.60733452600000004</v>
      </c>
      <c r="V94">
        <v>0.51937984500000001</v>
      </c>
      <c r="W94">
        <v>0.48598688099999998</v>
      </c>
      <c r="X94">
        <v>0.46332737000000002</v>
      </c>
      <c r="Y94">
        <v>0.49522957699999998</v>
      </c>
      <c r="Z94">
        <v>0.47346452</v>
      </c>
      <c r="AA94">
        <v>0.42128801399999999</v>
      </c>
      <c r="AB94">
        <v>0.44036970800000003</v>
      </c>
      <c r="AC94">
        <v>0.42754919499999999</v>
      </c>
      <c r="AD94">
        <v>0.44007155599999997</v>
      </c>
      <c r="AE94">
        <v>0.45945140099999998</v>
      </c>
      <c r="AF94">
        <v>0.44782349399999999</v>
      </c>
      <c r="AG94">
        <v>0.45408467499999999</v>
      </c>
      <c r="AH94">
        <v>0.47018485399999999</v>
      </c>
      <c r="AI94">
        <v>0.42456768</v>
      </c>
      <c r="AJ94">
        <v>0.42039356</v>
      </c>
      <c r="AK94">
        <v>0.39683959499999999</v>
      </c>
      <c r="AL94">
        <v>0.44215861699999998</v>
      </c>
      <c r="AM94">
        <v>0.47674418600000001</v>
      </c>
      <c r="AN94">
        <v>0.77340489000000001</v>
      </c>
      <c r="AO94">
        <v>0.59838998200000004</v>
      </c>
    </row>
    <row r="95" spans="1:41">
      <c r="A95">
        <v>379</v>
      </c>
      <c r="B95" t="s">
        <v>113</v>
      </c>
      <c r="C95">
        <v>240</v>
      </c>
      <c r="D95" t="s">
        <v>117</v>
      </c>
      <c r="E95">
        <v>1997</v>
      </c>
      <c r="F95">
        <v>1</v>
      </c>
      <c r="G95">
        <v>1.0266457680000001</v>
      </c>
      <c r="H95">
        <v>0.94043887100000001</v>
      </c>
      <c r="I95">
        <v>0.90282131700000001</v>
      </c>
      <c r="J95">
        <v>0.76489028199999998</v>
      </c>
      <c r="K95">
        <v>0.90752351099999995</v>
      </c>
      <c r="L95">
        <v>0.65360501599999998</v>
      </c>
      <c r="M95">
        <v>0.74294670799999996</v>
      </c>
      <c r="N95">
        <v>0.70062695900000005</v>
      </c>
      <c r="O95">
        <v>0.74608150500000003</v>
      </c>
      <c r="P95">
        <v>0.71943573699999996</v>
      </c>
      <c r="Q95">
        <v>0.71943573699999996</v>
      </c>
      <c r="R95">
        <v>0.68965517200000004</v>
      </c>
      <c r="S95">
        <v>0.65203761800000004</v>
      </c>
      <c r="T95">
        <v>0.68808777399999999</v>
      </c>
      <c r="U95">
        <v>0.71943573699999996</v>
      </c>
      <c r="V95">
        <v>0.70219435699999999</v>
      </c>
      <c r="W95">
        <v>0.68338558000000005</v>
      </c>
      <c r="X95">
        <v>0.66614420100000005</v>
      </c>
      <c r="Y95">
        <v>0.68495297799999999</v>
      </c>
      <c r="Z95">
        <v>0.67084639499999998</v>
      </c>
      <c r="AA95">
        <v>0.64263322899999997</v>
      </c>
      <c r="AB95">
        <v>0.66927899700000004</v>
      </c>
      <c r="AC95">
        <v>0.63949843299999998</v>
      </c>
      <c r="AD95">
        <v>0.62852664599999997</v>
      </c>
      <c r="AE95">
        <v>0.63793103399999995</v>
      </c>
    </row>
    <row r="96" spans="1:41">
      <c r="A96">
        <v>383</v>
      </c>
      <c r="B96" t="s">
        <v>113</v>
      </c>
      <c r="C96">
        <v>200</v>
      </c>
      <c r="D96" t="s">
        <v>117</v>
      </c>
      <c r="E96">
        <v>2011</v>
      </c>
      <c r="F96">
        <v>1</v>
      </c>
      <c r="G96">
        <v>0.95991091299999998</v>
      </c>
      <c r="H96">
        <v>0.73348181099999998</v>
      </c>
      <c r="I96">
        <v>0.67928730500000001</v>
      </c>
      <c r="J96">
        <v>0.66443949499999999</v>
      </c>
      <c r="K96">
        <v>0.63028953200000004</v>
      </c>
      <c r="L96">
        <v>0.59242761700000002</v>
      </c>
      <c r="M96">
        <v>0.59688196000000004</v>
      </c>
      <c r="N96">
        <v>0.575352635</v>
      </c>
      <c r="O96">
        <v>0.52041573900000004</v>
      </c>
      <c r="P96">
        <v>0.52115812900000003</v>
      </c>
      <c r="Q96">
        <v>0.50705270999999996</v>
      </c>
    </row>
    <row r="97" spans="1:43">
      <c r="A97">
        <v>386</v>
      </c>
      <c r="B97" t="s">
        <v>113</v>
      </c>
      <c r="C97">
        <v>200</v>
      </c>
      <c r="D97" t="s">
        <v>117</v>
      </c>
      <c r="E97">
        <v>2011</v>
      </c>
      <c r="F97">
        <v>1</v>
      </c>
      <c r="G97">
        <v>0.89203675299999996</v>
      </c>
      <c r="H97">
        <v>0.99617151599999998</v>
      </c>
      <c r="I97">
        <v>0.99310872900000002</v>
      </c>
      <c r="J97">
        <v>1.0191424200000001</v>
      </c>
      <c r="K97">
        <v>0.67611025999999996</v>
      </c>
      <c r="L97">
        <v>0.79555895899999995</v>
      </c>
      <c r="M97">
        <v>0.59877488499999998</v>
      </c>
      <c r="N97">
        <v>0.69142419600000005</v>
      </c>
      <c r="O97">
        <v>0.60336906599999995</v>
      </c>
      <c r="P97">
        <v>0.45865237399999997</v>
      </c>
      <c r="Q97">
        <v>0.28713629400000001</v>
      </c>
    </row>
    <row r="98" spans="1:43">
      <c r="A98">
        <v>387</v>
      </c>
      <c r="B98" t="s">
        <v>113</v>
      </c>
      <c r="C98">
        <v>200</v>
      </c>
      <c r="D98" t="s">
        <v>117</v>
      </c>
      <c r="E98">
        <v>2009</v>
      </c>
      <c r="F98">
        <v>1</v>
      </c>
      <c r="G98">
        <v>1.0394088669999999</v>
      </c>
      <c r="H98">
        <v>0.969348659</v>
      </c>
      <c r="I98">
        <v>0.89162561600000001</v>
      </c>
      <c r="J98">
        <v>0.93212917399999995</v>
      </c>
      <c r="K98">
        <v>0.93650793700000001</v>
      </c>
      <c r="L98">
        <v>0.91844553900000003</v>
      </c>
      <c r="M98">
        <v>0.85550082100000002</v>
      </c>
      <c r="N98">
        <v>0.90640394099999999</v>
      </c>
      <c r="O98">
        <v>0.70935960600000003</v>
      </c>
      <c r="P98">
        <v>0.72304323999999998</v>
      </c>
      <c r="Q98">
        <v>0.77613574200000002</v>
      </c>
      <c r="R98">
        <v>0.70935960600000003</v>
      </c>
      <c r="S98">
        <v>0.72468527599999999</v>
      </c>
    </row>
    <row r="99" spans="1:43">
      <c r="A99">
        <v>388</v>
      </c>
      <c r="B99" t="s">
        <v>113</v>
      </c>
      <c r="C99">
        <v>200</v>
      </c>
      <c r="D99" t="s">
        <v>117</v>
      </c>
      <c r="E99">
        <v>2015</v>
      </c>
      <c r="F99">
        <v>1</v>
      </c>
      <c r="G99">
        <v>0.86</v>
      </c>
      <c r="H99">
        <v>0.90090909100000005</v>
      </c>
      <c r="I99">
        <v>0.87272727299999997</v>
      </c>
      <c r="J99">
        <v>0.77454545500000005</v>
      </c>
      <c r="K99">
        <v>0.89909090899999999</v>
      </c>
      <c r="L99">
        <v>0.75272727299999997</v>
      </c>
      <c r="M99">
        <v>0.78636363600000003</v>
      </c>
    </row>
    <row r="100" spans="1:43">
      <c r="A100">
        <v>389</v>
      </c>
      <c r="B100" t="s">
        <v>113</v>
      </c>
      <c r="C100">
        <v>200</v>
      </c>
      <c r="D100" t="s">
        <v>117</v>
      </c>
      <c r="E100">
        <v>2001</v>
      </c>
      <c r="F100">
        <v>1</v>
      </c>
      <c r="G100">
        <v>0.99869280999999999</v>
      </c>
      <c r="H100">
        <v>0.82745097999999995</v>
      </c>
      <c r="I100">
        <v>0.76405228800000002</v>
      </c>
      <c r="J100">
        <v>0.83790849700000003</v>
      </c>
      <c r="K100">
        <v>0.55294117600000003</v>
      </c>
      <c r="L100">
        <v>0.749019608</v>
      </c>
      <c r="M100">
        <v>0.50849673200000001</v>
      </c>
      <c r="N100">
        <v>0.53856209200000005</v>
      </c>
      <c r="O100">
        <v>0.75555555600000002</v>
      </c>
      <c r="P100">
        <v>0.56405228799999996</v>
      </c>
      <c r="Q100">
        <v>0.53202614400000003</v>
      </c>
      <c r="R100">
        <v>0.58431372500000001</v>
      </c>
      <c r="S100">
        <v>0.59803921599999998</v>
      </c>
      <c r="T100">
        <v>0.55620915000000004</v>
      </c>
      <c r="U100">
        <v>0.47450980399999998</v>
      </c>
      <c r="V100">
        <v>0.60653594799999999</v>
      </c>
      <c r="W100">
        <v>0.53529411800000004</v>
      </c>
      <c r="X100">
        <v>0.54836601299999999</v>
      </c>
      <c r="Y100">
        <v>0.59607843100000002</v>
      </c>
      <c r="Z100">
        <v>0.52810457499999997</v>
      </c>
      <c r="AA100">
        <v>0.51764705899999996</v>
      </c>
    </row>
    <row r="101" spans="1:43">
      <c r="A101">
        <v>391</v>
      </c>
      <c r="B101" t="s">
        <v>113</v>
      </c>
      <c r="C101">
        <v>800</v>
      </c>
      <c r="D101" t="s">
        <v>117</v>
      </c>
      <c r="E101">
        <v>2016</v>
      </c>
      <c r="F101">
        <v>1</v>
      </c>
      <c r="G101">
        <v>0.96203748200000005</v>
      </c>
      <c r="H101">
        <v>0.87481979799999998</v>
      </c>
      <c r="I101">
        <v>0.77775108100000001</v>
      </c>
      <c r="J101">
        <v>0.72585295500000002</v>
      </c>
      <c r="K101">
        <v>0.69654012499999995</v>
      </c>
      <c r="L101">
        <v>0.53555982700000004</v>
      </c>
    </row>
    <row r="102" spans="1:43">
      <c r="A102">
        <v>393</v>
      </c>
      <c r="B102" t="s">
        <v>113</v>
      </c>
      <c r="C102">
        <v>960</v>
      </c>
      <c r="D102" t="s">
        <v>117</v>
      </c>
      <c r="E102">
        <v>2014</v>
      </c>
      <c r="F102">
        <v>1</v>
      </c>
      <c r="G102">
        <v>0.94118370900000003</v>
      </c>
      <c r="H102">
        <v>0.90876091999999997</v>
      </c>
      <c r="I102">
        <v>0.88255198700000004</v>
      </c>
      <c r="J102">
        <v>0.878860588</v>
      </c>
      <c r="K102">
        <v>0.85732742699999998</v>
      </c>
      <c r="L102">
        <v>0.82994955100000001</v>
      </c>
      <c r="M102">
        <v>0.77790082400000005</v>
      </c>
      <c r="N102">
        <v>0.72782084400000002</v>
      </c>
    </row>
    <row r="103" spans="1:43">
      <c r="A103">
        <v>394</v>
      </c>
      <c r="B103" t="s">
        <v>113</v>
      </c>
      <c r="C103">
        <v>660</v>
      </c>
      <c r="D103" t="s">
        <v>117</v>
      </c>
      <c r="E103">
        <v>2006</v>
      </c>
      <c r="F103">
        <v>1</v>
      </c>
      <c r="G103">
        <v>0.98264955700000001</v>
      </c>
      <c r="H103">
        <v>0.86734140599999998</v>
      </c>
      <c r="I103">
        <v>0.82974877999999996</v>
      </c>
      <c r="J103">
        <v>0.77787818500000006</v>
      </c>
      <c r="K103">
        <v>0.76161214499999996</v>
      </c>
      <c r="L103">
        <v>0.70413880399999995</v>
      </c>
      <c r="M103">
        <v>0.60401229000000001</v>
      </c>
      <c r="N103">
        <v>0.65913609299999998</v>
      </c>
      <c r="O103">
        <v>0.64991867000000003</v>
      </c>
      <c r="P103">
        <v>0.61521778400000005</v>
      </c>
      <c r="Q103">
        <v>0.62985722</v>
      </c>
      <c r="R103">
        <v>0.60310862099999996</v>
      </c>
      <c r="S103">
        <v>0.57328754699999995</v>
      </c>
      <c r="T103">
        <v>0.54418940900000001</v>
      </c>
      <c r="U103">
        <v>0.50605458199999998</v>
      </c>
      <c r="V103">
        <v>0.50280137400000002</v>
      </c>
    </row>
    <row r="104" spans="1:43">
      <c r="A104">
        <v>398</v>
      </c>
      <c r="B104" t="s">
        <v>113</v>
      </c>
      <c r="C104">
        <v>700</v>
      </c>
      <c r="D104" t="s">
        <v>117</v>
      </c>
      <c r="E104">
        <v>1985</v>
      </c>
      <c r="F104">
        <v>1</v>
      </c>
      <c r="G104">
        <v>0.98634744799999996</v>
      </c>
      <c r="H104">
        <v>0.877324891</v>
      </c>
      <c r="I104">
        <v>0.85872576199999995</v>
      </c>
      <c r="J104">
        <v>0.75158290500000002</v>
      </c>
      <c r="K104">
        <v>0.87109220399999998</v>
      </c>
      <c r="L104">
        <v>0.74732884799999999</v>
      </c>
      <c r="M104">
        <v>0.74030470900000001</v>
      </c>
      <c r="N104">
        <v>0.61011080299999998</v>
      </c>
      <c r="O104">
        <v>0.55352196300000001</v>
      </c>
      <c r="P104">
        <v>0.507320934</v>
      </c>
      <c r="Q104">
        <v>0.73219232300000003</v>
      </c>
      <c r="R104">
        <v>0.49742777999999999</v>
      </c>
      <c r="S104">
        <v>0.53037198299999999</v>
      </c>
      <c r="T104">
        <v>0.50494657700000001</v>
      </c>
      <c r="U104">
        <v>0.63266719400000004</v>
      </c>
      <c r="V104">
        <v>0.60476850000000004</v>
      </c>
      <c r="W104">
        <v>0.63019390600000003</v>
      </c>
      <c r="X104">
        <v>0.56658092599999998</v>
      </c>
      <c r="Y104">
        <v>0.634645825</v>
      </c>
      <c r="Z104">
        <v>0.55906212899999996</v>
      </c>
      <c r="AA104">
        <v>0.64750692499999996</v>
      </c>
      <c r="AB104">
        <v>0.84101701600000001</v>
      </c>
      <c r="AC104">
        <v>0.52463395300000004</v>
      </c>
      <c r="AD104">
        <v>0.52681044700000002</v>
      </c>
      <c r="AE104">
        <v>0.53660467000000001</v>
      </c>
      <c r="AF104">
        <v>0.54313415099999995</v>
      </c>
      <c r="AG104">
        <v>0.53798971100000004</v>
      </c>
      <c r="AH104">
        <v>0.48852394100000002</v>
      </c>
      <c r="AI104">
        <v>0.46557182400000002</v>
      </c>
      <c r="AJ104">
        <v>0.46428571400000002</v>
      </c>
      <c r="AK104">
        <v>0.45914127399999999</v>
      </c>
      <c r="AL104">
        <v>0.47249703199999998</v>
      </c>
      <c r="AM104">
        <v>0.42906608600000001</v>
      </c>
      <c r="AN104">
        <v>0.43876137700000001</v>
      </c>
      <c r="AO104">
        <v>0.461812426</v>
      </c>
      <c r="AP104">
        <v>0.42896715499999999</v>
      </c>
      <c r="AQ104">
        <v>0.42530668799999999</v>
      </c>
    </row>
    <row r="105" spans="1:43">
      <c r="A105">
        <v>400</v>
      </c>
      <c r="B105" t="s">
        <v>113</v>
      </c>
      <c r="C105">
        <v>600</v>
      </c>
      <c r="D105" t="s">
        <v>117</v>
      </c>
      <c r="E105">
        <v>1999</v>
      </c>
      <c r="F105">
        <v>1</v>
      </c>
      <c r="G105">
        <v>1.0392496389999999</v>
      </c>
      <c r="H105">
        <v>0.937518038</v>
      </c>
      <c r="I105">
        <v>0.90367965400000005</v>
      </c>
      <c r="J105">
        <v>0.86515151499999998</v>
      </c>
      <c r="K105">
        <v>0.88073593100000003</v>
      </c>
      <c r="L105">
        <v>0.79126984099999997</v>
      </c>
      <c r="M105">
        <v>0.81962482000000003</v>
      </c>
      <c r="N105">
        <v>0.89430014400000002</v>
      </c>
      <c r="O105">
        <v>0.78189033200000002</v>
      </c>
      <c r="P105">
        <v>0.77330447300000005</v>
      </c>
      <c r="Q105">
        <v>0.79069264100000003</v>
      </c>
      <c r="R105">
        <v>0.78181818199999997</v>
      </c>
      <c r="S105">
        <v>0.75101010099999999</v>
      </c>
      <c r="T105">
        <v>0.74220779199999998</v>
      </c>
      <c r="U105">
        <v>0.74559884600000004</v>
      </c>
      <c r="V105">
        <v>0.71919191900000001</v>
      </c>
      <c r="W105">
        <v>0.74632034599999997</v>
      </c>
      <c r="X105">
        <v>0.76053391100000001</v>
      </c>
      <c r="Y105">
        <v>0.71904761900000003</v>
      </c>
      <c r="Z105">
        <v>0.73477633499999995</v>
      </c>
      <c r="AA105">
        <v>0.74761904800000001</v>
      </c>
      <c r="AB105">
        <v>0.72027417000000005</v>
      </c>
      <c r="AC105">
        <v>0.71183261200000003</v>
      </c>
    </row>
    <row r="106" spans="1:43">
      <c r="A106">
        <v>414</v>
      </c>
      <c r="B106" t="s">
        <v>113</v>
      </c>
      <c r="C106">
        <v>600</v>
      </c>
      <c r="D106" t="s">
        <v>117</v>
      </c>
      <c r="E106">
        <v>2006</v>
      </c>
      <c r="F106">
        <v>1</v>
      </c>
      <c r="G106">
        <v>0.93066436900000005</v>
      </c>
      <c r="H106">
        <v>0.82779692900000001</v>
      </c>
      <c r="I106">
        <v>0.83790347899999995</v>
      </c>
      <c r="J106">
        <v>0.817455343</v>
      </c>
      <c r="K106">
        <v>0.77467878400000001</v>
      </c>
      <c r="L106">
        <v>0.81729865199999996</v>
      </c>
      <c r="M106">
        <v>0.77514885600000005</v>
      </c>
      <c r="N106">
        <v>0.71631150099999996</v>
      </c>
      <c r="O106">
        <v>0.75540582899999997</v>
      </c>
      <c r="P106">
        <v>0.64611407099999996</v>
      </c>
      <c r="Q106">
        <v>0.67917580700000002</v>
      </c>
      <c r="R106">
        <v>0.67079285499999997</v>
      </c>
      <c r="S106">
        <v>0.68826386699999997</v>
      </c>
      <c r="T106">
        <v>0.63796615499999998</v>
      </c>
      <c r="U106">
        <v>0.655828894</v>
      </c>
      <c r="V106">
        <v>0.62041679699999996</v>
      </c>
    </row>
    <row r="107" spans="1:43">
      <c r="A107">
        <v>418</v>
      </c>
      <c r="B107" t="s">
        <v>113</v>
      </c>
      <c r="C107">
        <v>200</v>
      </c>
      <c r="D107" t="s">
        <v>117</v>
      </c>
      <c r="E107">
        <v>2003</v>
      </c>
      <c r="F107">
        <v>1</v>
      </c>
      <c r="G107">
        <v>0.88299817199999997</v>
      </c>
      <c r="H107">
        <v>0.74588665399999998</v>
      </c>
      <c r="I107">
        <v>0.69835466199999996</v>
      </c>
      <c r="J107">
        <v>0.65996343700000004</v>
      </c>
      <c r="K107">
        <v>0.35009140799999999</v>
      </c>
      <c r="L107">
        <v>0.37751371099999997</v>
      </c>
      <c r="M107">
        <v>0.381170018</v>
      </c>
      <c r="N107">
        <v>0.27056672799999998</v>
      </c>
      <c r="O107">
        <v>0.344606947</v>
      </c>
      <c r="P107">
        <v>0.45886654500000001</v>
      </c>
      <c r="Q107">
        <v>0.578610603</v>
      </c>
      <c r="R107">
        <v>0.457952468</v>
      </c>
      <c r="S107">
        <v>0.42321755</v>
      </c>
    </row>
    <row r="108" spans="1:43">
      <c r="A108" s="23">
        <v>423</v>
      </c>
      <c r="B108" t="s">
        <v>113</v>
      </c>
      <c r="C108">
        <v>300</v>
      </c>
      <c r="D108" t="s">
        <v>117</v>
      </c>
      <c r="E108">
        <v>1987</v>
      </c>
      <c r="F108">
        <v>1</v>
      </c>
      <c r="G108">
        <v>0.96480231400000005</v>
      </c>
      <c r="H108">
        <v>0.90453230500000004</v>
      </c>
      <c r="I108">
        <v>0.88379942099999997</v>
      </c>
      <c r="J108">
        <v>0.83172613299999998</v>
      </c>
      <c r="K108">
        <v>1.239151398</v>
      </c>
      <c r="L108">
        <v>0.82401157199999997</v>
      </c>
      <c r="M108">
        <v>0.77627772399999995</v>
      </c>
      <c r="N108">
        <v>0.83944069399999999</v>
      </c>
      <c r="O108">
        <v>0.73191899699999996</v>
      </c>
      <c r="P108">
        <v>0.51976856299999996</v>
      </c>
      <c r="Q108">
        <v>0.58389585300000002</v>
      </c>
      <c r="R108">
        <v>0.51060752200000004</v>
      </c>
      <c r="S108">
        <v>0.57232401200000005</v>
      </c>
      <c r="T108">
        <v>0.46046287400000002</v>
      </c>
      <c r="U108">
        <v>0.712150434</v>
      </c>
      <c r="V108">
        <v>0.49035679799999998</v>
      </c>
      <c r="W108">
        <v>0.37222758</v>
      </c>
      <c r="X108">
        <v>0.353423337</v>
      </c>
      <c r="Y108">
        <v>0.37174541900000002</v>
      </c>
      <c r="Z108">
        <v>0.36403085800000001</v>
      </c>
      <c r="AA108">
        <v>0.34474445500000001</v>
      </c>
      <c r="AB108">
        <v>0.35872709699999999</v>
      </c>
      <c r="AC108">
        <v>0.34281581500000002</v>
      </c>
      <c r="AD108">
        <v>0.35776277699999998</v>
      </c>
      <c r="AE108">
        <v>0.36499517799999998</v>
      </c>
      <c r="AF108">
        <v>0.38862102199999998</v>
      </c>
      <c r="AG108">
        <v>0.38621022199999999</v>
      </c>
      <c r="AH108">
        <v>0.360655738</v>
      </c>
      <c r="AI108">
        <v>0.37174541900000002</v>
      </c>
      <c r="AJ108">
        <v>0.37174541900000002</v>
      </c>
      <c r="AK108">
        <v>0.35969141799999998</v>
      </c>
      <c r="AL108">
        <v>0.431533269</v>
      </c>
      <c r="AM108">
        <v>0.43490838999999998</v>
      </c>
      <c r="AN108">
        <v>0.44551591099999999</v>
      </c>
      <c r="AO108">
        <v>0.39199614300000002</v>
      </c>
    </row>
    <row r="109" spans="1:43">
      <c r="A109" s="23">
        <v>426</v>
      </c>
      <c r="B109" t="s">
        <v>113</v>
      </c>
      <c r="C109">
        <v>260</v>
      </c>
      <c r="D109" t="s">
        <v>117</v>
      </c>
      <c r="E109">
        <v>1986</v>
      </c>
      <c r="F109">
        <v>1</v>
      </c>
      <c r="G109">
        <v>0.91727140799999995</v>
      </c>
      <c r="H109">
        <v>0.99854862099999997</v>
      </c>
      <c r="I109">
        <v>0.68650217700000005</v>
      </c>
      <c r="J109">
        <v>0.63570391900000001</v>
      </c>
      <c r="K109">
        <v>0.63860667599999998</v>
      </c>
      <c r="M109">
        <v>0.67779390399999995</v>
      </c>
      <c r="N109">
        <v>0.63280116099999995</v>
      </c>
      <c r="O109">
        <v>0.70537010200000005</v>
      </c>
      <c r="P109">
        <v>0.50507982600000001</v>
      </c>
      <c r="Q109">
        <v>0.50072568900000003</v>
      </c>
      <c r="R109">
        <v>0.53265602300000003</v>
      </c>
      <c r="S109">
        <v>0.47750362800000001</v>
      </c>
      <c r="T109">
        <v>0.428156749</v>
      </c>
      <c r="U109">
        <v>0.41654571800000001</v>
      </c>
      <c r="V109">
        <v>0.51233671999999997</v>
      </c>
      <c r="W109">
        <v>0.52249637199999999</v>
      </c>
      <c r="X109">
        <v>0.36429608099999999</v>
      </c>
      <c r="Y109">
        <v>0.32801161099999998</v>
      </c>
      <c r="Z109">
        <v>0.35558780800000001</v>
      </c>
      <c r="AA109">
        <v>0.37445573300000001</v>
      </c>
      <c r="AB109">
        <v>0.35268505100000003</v>
      </c>
      <c r="AC109">
        <v>0.33671988400000002</v>
      </c>
      <c r="AD109">
        <v>0.32510885299999998</v>
      </c>
      <c r="AE109">
        <v>0.29172714100000002</v>
      </c>
      <c r="AF109">
        <v>0.31349782300000001</v>
      </c>
      <c r="AG109">
        <v>0.29608127699999998</v>
      </c>
      <c r="AH109">
        <v>0.29898403499999998</v>
      </c>
      <c r="AI109">
        <v>0.29172714100000002</v>
      </c>
      <c r="AJ109">
        <v>0.27431059499999999</v>
      </c>
      <c r="AK109">
        <v>0.26995645899999998</v>
      </c>
      <c r="AL109">
        <v>0.26705370099999998</v>
      </c>
      <c r="AM109">
        <v>0.25399129199999998</v>
      </c>
      <c r="AN109">
        <v>0.23947750400000001</v>
      </c>
      <c r="AO109">
        <v>0.25834542799999999</v>
      </c>
      <c r="AP109">
        <v>0.24092888200000001</v>
      </c>
    </row>
    <row r="110" spans="1:43">
      <c r="A110" s="23">
        <v>429</v>
      </c>
      <c r="B110" t="s">
        <v>113</v>
      </c>
      <c r="C110">
        <v>260</v>
      </c>
      <c r="D110" t="s">
        <v>117</v>
      </c>
      <c r="E110">
        <v>1997</v>
      </c>
      <c r="F110">
        <v>1</v>
      </c>
      <c r="G110">
        <v>0.982780612</v>
      </c>
      <c r="H110">
        <v>0.75127551000000004</v>
      </c>
      <c r="I110">
        <v>0.56505101999999996</v>
      </c>
      <c r="J110">
        <v>0.57079081600000003</v>
      </c>
      <c r="K110">
        <v>0.75063775499999996</v>
      </c>
      <c r="L110">
        <v>0.68813775499999996</v>
      </c>
      <c r="M110">
        <v>0.37244897999999999</v>
      </c>
      <c r="N110">
        <v>0.36926020399999998</v>
      </c>
      <c r="O110">
        <v>0.411352041</v>
      </c>
      <c r="P110">
        <v>0.434311224</v>
      </c>
      <c r="Q110">
        <v>0.39987244900000002</v>
      </c>
      <c r="R110">
        <v>0.399234694</v>
      </c>
      <c r="S110">
        <v>0.338647959</v>
      </c>
      <c r="T110">
        <v>0.293367347</v>
      </c>
      <c r="U110">
        <v>0.32206632699999999</v>
      </c>
      <c r="V110">
        <v>0.24872448999999999</v>
      </c>
      <c r="W110">
        <v>0.26339285699999998</v>
      </c>
      <c r="X110">
        <v>0.28252550999999998</v>
      </c>
      <c r="Y110">
        <v>0.26339285699999998</v>
      </c>
      <c r="Z110">
        <v>0.24617346900000001</v>
      </c>
      <c r="AA110">
        <v>0.161352041</v>
      </c>
      <c r="AB110">
        <v>0.22831632700000001</v>
      </c>
      <c r="AC110">
        <v>0.221938776</v>
      </c>
      <c r="AD110">
        <v>0.29464285699999998</v>
      </c>
      <c r="AE110">
        <v>0.13775510199999999</v>
      </c>
    </row>
    <row r="111" spans="1:43">
      <c r="A111" s="23">
        <v>430</v>
      </c>
      <c r="B111" t="s">
        <v>113</v>
      </c>
      <c r="C111">
        <v>300</v>
      </c>
      <c r="D111" t="s">
        <v>117</v>
      </c>
      <c r="E111">
        <v>1997</v>
      </c>
      <c r="F111">
        <v>1</v>
      </c>
      <c r="G111">
        <v>1.0047393360000001</v>
      </c>
      <c r="H111">
        <v>0.91536899100000002</v>
      </c>
      <c r="I111">
        <v>0.85037237600000004</v>
      </c>
      <c r="J111">
        <v>0.83006093400000003</v>
      </c>
      <c r="K111">
        <v>0.93364928899999999</v>
      </c>
      <c r="L111">
        <v>0.90995260700000002</v>
      </c>
      <c r="M111">
        <v>0.678402167</v>
      </c>
      <c r="N111">
        <v>0.58903182099999996</v>
      </c>
      <c r="O111">
        <v>0.62220717699999994</v>
      </c>
      <c r="P111">
        <v>0.61949898400000003</v>
      </c>
      <c r="Q111">
        <v>0.553148274</v>
      </c>
      <c r="R111">
        <v>0.57616790799999995</v>
      </c>
      <c r="S111">
        <v>0.53893026399999999</v>
      </c>
      <c r="T111">
        <v>0.47122545700000001</v>
      </c>
      <c r="U111">
        <v>0.49356804300000001</v>
      </c>
      <c r="V111">
        <v>0.44211239000000002</v>
      </c>
      <c r="W111">
        <v>0.448205823</v>
      </c>
      <c r="X111">
        <v>0.433987813</v>
      </c>
      <c r="Y111">
        <v>0.408937035</v>
      </c>
      <c r="Z111">
        <v>0.40352064999999998</v>
      </c>
      <c r="AA111">
        <v>0.38117806399999998</v>
      </c>
      <c r="AB111">
        <v>0.34935680400000002</v>
      </c>
      <c r="AC111">
        <v>0.30467163200000003</v>
      </c>
      <c r="AD111">
        <v>0.31956668900000001</v>
      </c>
      <c r="AE111">
        <v>0.30805687199999998</v>
      </c>
    </row>
    <row r="112" spans="1:43">
      <c r="A112" s="23">
        <v>436</v>
      </c>
      <c r="B112" t="s">
        <v>113</v>
      </c>
      <c r="C112">
        <v>300</v>
      </c>
      <c r="D112" t="s">
        <v>117</v>
      </c>
      <c r="E112">
        <v>2014</v>
      </c>
      <c r="F112">
        <v>1</v>
      </c>
      <c r="G112">
        <v>1.020283976</v>
      </c>
      <c r="H112">
        <v>0.96855983800000001</v>
      </c>
      <c r="I112">
        <v>0.83468559799999997</v>
      </c>
      <c r="J112">
        <v>0.87626774799999996</v>
      </c>
      <c r="K112">
        <v>0.66937119700000003</v>
      </c>
      <c r="L112">
        <v>0.65415821500000004</v>
      </c>
      <c r="M112">
        <v>0.79310344799999999</v>
      </c>
      <c r="N112">
        <v>0.50608519299999999</v>
      </c>
    </row>
    <row r="113" spans="1:43">
      <c r="A113">
        <v>437</v>
      </c>
      <c r="B113" t="s">
        <v>113</v>
      </c>
      <c r="C113">
        <v>340</v>
      </c>
      <c r="D113" t="s">
        <v>117</v>
      </c>
      <c r="E113">
        <v>2015</v>
      </c>
      <c r="F113">
        <v>1</v>
      </c>
      <c r="G113">
        <v>0.92245085999999998</v>
      </c>
      <c r="H113">
        <v>0.96114864899999997</v>
      </c>
      <c r="I113">
        <v>0.93964987700000002</v>
      </c>
      <c r="J113">
        <v>0.85426904199999998</v>
      </c>
      <c r="K113">
        <v>0.82616707599999994</v>
      </c>
      <c r="L113">
        <v>0.86655405399999996</v>
      </c>
      <c r="M113">
        <v>0.81326781299999995</v>
      </c>
    </row>
    <row r="114" spans="1:43">
      <c r="A114">
        <v>438</v>
      </c>
      <c r="B114" t="s">
        <v>113</v>
      </c>
      <c r="C114">
        <v>340</v>
      </c>
      <c r="D114" t="s">
        <v>117</v>
      </c>
      <c r="E114">
        <v>2005</v>
      </c>
      <c r="F114">
        <v>1</v>
      </c>
      <c r="G114">
        <v>0.88049126099999997</v>
      </c>
      <c r="H114">
        <v>0.87387812899999995</v>
      </c>
      <c r="I114">
        <v>0.89017477599999995</v>
      </c>
      <c r="J114">
        <v>0.83325460600000001</v>
      </c>
      <c r="K114">
        <v>0.80987246099999999</v>
      </c>
      <c r="L114">
        <v>0.80963627800000004</v>
      </c>
      <c r="M114">
        <v>0.69012753900000001</v>
      </c>
      <c r="N114">
        <v>0.84411903600000004</v>
      </c>
      <c r="O114">
        <v>0.788852149</v>
      </c>
      <c r="P114">
        <v>0.712801134</v>
      </c>
      <c r="Q114">
        <v>0.65422768099999995</v>
      </c>
      <c r="R114">
        <v>0.636041568</v>
      </c>
      <c r="S114">
        <v>0.64572508299999998</v>
      </c>
      <c r="T114">
        <v>0.55692017000000005</v>
      </c>
      <c r="U114">
        <v>0.68256967400000002</v>
      </c>
      <c r="V114">
        <v>0.73287671200000004</v>
      </c>
      <c r="W114">
        <v>0.61502125600000002</v>
      </c>
    </row>
    <row r="115" spans="1:43">
      <c r="A115" s="23">
        <v>440</v>
      </c>
      <c r="B115" t="s">
        <v>113</v>
      </c>
      <c r="C115">
        <v>320</v>
      </c>
      <c r="D115" t="s">
        <v>117</v>
      </c>
      <c r="E115">
        <v>1984</v>
      </c>
      <c r="F115">
        <v>1</v>
      </c>
      <c r="G115">
        <v>0.93363095200000001</v>
      </c>
      <c r="H115">
        <v>0.95267857099999997</v>
      </c>
      <c r="I115">
        <v>0.97321428600000004</v>
      </c>
      <c r="J115">
        <v>0.94226190499999996</v>
      </c>
      <c r="K115">
        <v>0.87827381000000004</v>
      </c>
      <c r="L115">
        <v>0.97291666700000001</v>
      </c>
      <c r="M115">
        <v>0.82708333300000003</v>
      </c>
      <c r="N115">
        <v>0.67529761899999996</v>
      </c>
      <c r="O115">
        <v>0.85952381</v>
      </c>
      <c r="P115">
        <v>0.86428571399999998</v>
      </c>
      <c r="Q115">
        <v>0.71964285699999997</v>
      </c>
      <c r="R115">
        <v>0.65416666700000003</v>
      </c>
      <c r="S115">
        <v>0.66845238100000004</v>
      </c>
      <c r="T115">
        <v>0.72202381000000004</v>
      </c>
      <c r="U115">
        <v>0.73541666699999997</v>
      </c>
      <c r="V115">
        <v>0.898511905</v>
      </c>
      <c r="W115">
        <v>0.79136904799999996</v>
      </c>
      <c r="X115">
        <v>0.87916666700000001</v>
      </c>
      <c r="Y115">
        <v>0.79196428600000002</v>
      </c>
      <c r="Z115">
        <v>0.819047619</v>
      </c>
      <c r="AA115">
        <v>0.81071428599999995</v>
      </c>
      <c r="AB115">
        <v>0.70386904800000005</v>
      </c>
      <c r="AC115">
        <v>0.71666666700000003</v>
      </c>
      <c r="AD115">
        <v>0.71488095200000001</v>
      </c>
      <c r="AE115">
        <v>0.75208333299999997</v>
      </c>
      <c r="AF115">
        <v>0.78452381000000004</v>
      </c>
      <c r="AG115">
        <v>0.774702381</v>
      </c>
      <c r="AH115">
        <v>0.72380952399999998</v>
      </c>
      <c r="AI115">
        <v>0.83571428599999997</v>
      </c>
      <c r="AJ115">
        <v>0.73482142900000003</v>
      </c>
      <c r="AK115">
        <v>0.79702381</v>
      </c>
      <c r="AL115">
        <v>0.73244047599999995</v>
      </c>
      <c r="AM115">
        <v>0.69315476200000004</v>
      </c>
      <c r="AN115">
        <v>0.75327381000000004</v>
      </c>
      <c r="AO115">
        <v>0.69791666699999999</v>
      </c>
      <c r="AP115">
        <v>0.73720238100000002</v>
      </c>
      <c r="AQ115">
        <v>0.74851190499999998</v>
      </c>
    </row>
    <row r="116" spans="1:43">
      <c r="A116" s="23">
        <v>441</v>
      </c>
      <c r="B116" t="s">
        <v>113</v>
      </c>
      <c r="C116">
        <v>320</v>
      </c>
      <c r="D116" t="s">
        <v>117</v>
      </c>
      <c r="E116">
        <v>2011</v>
      </c>
      <c r="F116">
        <v>1</v>
      </c>
      <c r="G116">
        <v>0.85734529999999998</v>
      </c>
      <c r="H116">
        <v>0.94378837999999998</v>
      </c>
      <c r="I116">
        <v>0.98866320299999999</v>
      </c>
      <c r="J116">
        <v>0.69579593799999995</v>
      </c>
      <c r="K116">
        <v>0.66461974499999998</v>
      </c>
      <c r="L116">
        <v>0.73027869599999995</v>
      </c>
      <c r="M116">
        <v>0.70288143599999997</v>
      </c>
      <c r="N116">
        <v>0.45441662700000002</v>
      </c>
      <c r="O116">
        <v>0.57203590000000004</v>
      </c>
      <c r="P116">
        <v>0.53991497399999999</v>
      </c>
      <c r="Q116">
        <v>0.48889938599999999</v>
      </c>
    </row>
    <row r="117" spans="1:43">
      <c r="A117" s="23">
        <v>443</v>
      </c>
      <c r="B117" t="s">
        <v>113</v>
      </c>
      <c r="C117">
        <v>360</v>
      </c>
      <c r="D117" t="s">
        <v>117</v>
      </c>
      <c r="E117">
        <v>1984</v>
      </c>
      <c r="F117">
        <v>1</v>
      </c>
      <c r="G117">
        <v>0.90596330300000005</v>
      </c>
      <c r="H117">
        <v>0.98394495400000004</v>
      </c>
      <c r="I117">
        <v>0.93233944999999996</v>
      </c>
      <c r="J117">
        <v>0.96731651399999996</v>
      </c>
      <c r="K117">
        <v>0.938073394</v>
      </c>
      <c r="L117">
        <v>0.84977064199999996</v>
      </c>
      <c r="M117">
        <v>1.0240825689999999</v>
      </c>
      <c r="N117">
        <v>0.84862385299999998</v>
      </c>
      <c r="O117">
        <v>0.916857798</v>
      </c>
      <c r="P117">
        <v>0.69323394500000002</v>
      </c>
      <c r="Q117">
        <v>0.652522936</v>
      </c>
      <c r="R117">
        <v>0.82282110100000005</v>
      </c>
      <c r="S117">
        <v>0.82798165099999999</v>
      </c>
      <c r="T117">
        <v>0.80217889899999995</v>
      </c>
      <c r="U117">
        <v>0.86181192699999998</v>
      </c>
      <c r="V117">
        <v>0.881880734</v>
      </c>
      <c r="W117">
        <v>0.80332568800000004</v>
      </c>
      <c r="X117">
        <v>0.95355504599999996</v>
      </c>
      <c r="Y117">
        <v>0.84690367</v>
      </c>
      <c r="Z117">
        <v>0.85894495400000004</v>
      </c>
      <c r="AA117">
        <v>0.81020642200000004</v>
      </c>
      <c r="AB117">
        <v>0.67947247700000002</v>
      </c>
      <c r="AC117">
        <v>0.79931192699999998</v>
      </c>
      <c r="AD117">
        <v>0.90194954100000002</v>
      </c>
      <c r="AE117">
        <v>1.0619266060000001</v>
      </c>
      <c r="AF117">
        <v>0.91341743099999995</v>
      </c>
      <c r="AG117">
        <v>0.97419724799999996</v>
      </c>
      <c r="AH117">
        <v>0.79931192699999998</v>
      </c>
      <c r="AI117">
        <v>1.0854357800000001</v>
      </c>
      <c r="AJ117">
        <v>0.944954128</v>
      </c>
      <c r="AK117">
        <v>1.1106651380000001</v>
      </c>
      <c r="AL117">
        <v>0.79701834900000001</v>
      </c>
      <c r="AM117">
        <v>0.90022935800000004</v>
      </c>
      <c r="AN117">
        <v>0.79013761500000002</v>
      </c>
      <c r="AO117">
        <v>0.875</v>
      </c>
      <c r="AP117">
        <v>0.81536697199999997</v>
      </c>
      <c r="AQ117">
        <v>0.85321100900000002</v>
      </c>
    </row>
    <row r="118" spans="1:43">
      <c r="A118" s="23">
        <v>444</v>
      </c>
      <c r="B118" t="s">
        <v>113</v>
      </c>
      <c r="C118">
        <v>380</v>
      </c>
      <c r="D118" t="s">
        <v>117</v>
      </c>
      <c r="E118">
        <v>2003</v>
      </c>
      <c r="F118">
        <v>1</v>
      </c>
      <c r="G118">
        <v>0.87884436200000005</v>
      </c>
      <c r="H118">
        <v>0.95184840000000004</v>
      </c>
      <c r="I118">
        <v>0.80304442399999998</v>
      </c>
      <c r="J118">
        <v>0.84436160299999996</v>
      </c>
      <c r="K118">
        <v>0.821062442</v>
      </c>
      <c r="L118">
        <v>0.80925753300000003</v>
      </c>
      <c r="M118">
        <v>0.84653619099999999</v>
      </c>
      <c r="N118">
        <v>0.82510096300000002</v>
      </c>
      <c r="O118">
        <v>0.75147561399999996</v>
      </c>
      <c r="P118">
        <v>0.95744019899999999</v>
      </c>
      <c r="Q118">
        <v>0.76421248799999997</v>
      </c>
      <c r="R118">
        <v>0.73904939400000003</v>
      </c>
      <c r="S118">
        <v>0.71202236699999999</v>
      </c>
      <c r="T118">
        <v>0.72041006500000004</v>
      </c>
      <c r="U118">
        <v>0.65827896900000005</v>
      </c>
      <c r="V118">
        <v>0.68996582799999995</v>
      </c>
      <c r="W118">
        <v>0.73656414999999997</v>
      </c>
      <c r="X118">
        <v>0.78378378400000004</v>
      </c>
      <c r="Y118">
        <v>0.71202236699999999</v>
      </c>
    </row>
    <row r="119" spans="1:43">
      <c r="A119">
        <v>445</v>
      </c>
      <c r="B119" t="s">
        <v>113</v>
      </c>
      <c r="C119">
        <v>200</v>
      </c>
      <c r="D119" t="s">
        <v>117</v>
      </c>
      <c r="E119">
        <v>1987</v>
      </c>
      <c r="F119">
        <v>1</v>
      </c>
      <c r="G119">
        <v>1.0591016550000001</v>
      </c>
      <c r="H119">
        <v>0.81166272699999997</v>
      </c>
      <c r="I119">
        <v>0.98896769100000004</v>
      </c>
      <c r="J119">
        <v>0.71000788000000004</v>
      </c>
      <c r="K119">
        <v>0.64854215900000001</v>
      </c>
      <c r="L119">
        <v>0.86840031500000003</v>
      </c>
      <c r="M119">
        <v>0.83687943300000001</v>
      </c>
      <c r="N119">
        <v>0.74783293900000003</v>
      </c>
      <c r="O119">
        <v>0.77777777800000003</v>
      </c>
      <c r="P119">
        <v>0.81875492500000002</v>
      </c>
      <c r="Q119">
        <v>0.81954294699999997</v>
      </c>
      <c r="R119">
        <v>0.81481481499999997</v>
      </c>
      <c r="S119">
        <v>0.75650118200000005</v>
      </c>
      <c r="T119">
        <v>0.70606776999999998</v>
      </c>
      <c r="U119">
        <v>0.70055161499999996</v>
      </c>
      <c r="V119">
        <v>0.71315996800000003</v>
      </c>
      <c r="W119">
        <v>0.65484633599999997</v>
      </c>
      <c r="X119">
        <v>0.66824271099999999</v>
      </c>
      <c r="Y119" s="33">
        <v>0.60992907799999996</v>
      </c>
      <c r="Z119">
        <v>0.66272655599999997</v>
      </c>
      <c r="AA119">
        <v>0.65563435800000003</v>
      </c>
      <c r="AB119">
        <v>0.74546887299999998</v>
      </c>
      <c r="AC119">
        <v>0.75650118200000005</v>
      </c>
      <c r="AD119">
        <v>0.61465720999999995</v>
      </c>
      <c r="AE119">
        <v>0.66351457800000002</v>
      </c>
      <c r="AF119">
        <v>0.61308116599999996</v>
      </c>
      <c r="AG119">
        <v>0.66115051199999997</v>
      </c>
      <c r="AH119">
        <v>0.76989755699999995</v>
      </c>
      <c r="AI119">
        <v>0.61938534300000003</v>
      </c>
      <c r="AJ119">
        <v>0.62411347500000003</v>
      </c>
      <c r="AK119">
        <v>0.59101654800000003</v>
      </c>
      <c r="AL119">
        <v>0.73364854199999996</v>
      </c>
      <c r="AM119">
        <v>0.722616233</v>
      </c>
      <c r="AN119">
        <v>0.78644601999999997</v>
      </c>
      <c r="AO119">
        <v>0.717888101</v>
      </c>
    </row>
    <row r="120" spans="1:43">
      <c r="A120" s="23">
        <v>446</v>
      </c>
      <c r="B120" t="s">
        <v>113</v>
      </c>
      <c r="C120">
        <v>240</v>
      </c>
      <c r="D120" t="s">
        <v>117</v>
      </c>
      <c r="E120">
        <v>2000</v>
      </c>
      <c r="F120">
        <v>1</v>
      </c>
      <c r="G120">
        <v>0.97889182100000005</v>
      </c>
      <c r="H120">
        <v>1.01121372</v>
      </c>
      <c r="I120">
        <v>0.67348284999999997</v>
      </c>
      <c r="J120">
        <v>0.75989445899999997</v>
      </c>
      <c r="K120">
        <v>0.59762532999999995</v>
      </c>
      <c r="L120">
        <v>0.48350923499999998</v>
      </c>
      <c r="M120">
        <v>0.54947229600000003</v>
      </c>
      <c r="N120">
        <v>0.58113456500000005</v>
      </c>
      <c r="O120">
        <v>0.61147757300000005</v>
      </c>
      <c r="P120">
        <v>0.65039577800000004</v>
      </c>
      <c r="Q120">
        <v>0.61345646399999998</v>
      </c>
      <c r="R120">
        <v>0.441292876</v>
      </c>
      <c r="S120">
        <v>0.56794195300000005</v>
      </c>
      <c r="T120">
        <v>0.62137203200000002</v>
      </c>
      <c r="U120">
        <v>0.76187335099999998</v>
      </c>
      <c r="V120">
        <v>0.75659630600000005</v>
      </c>
      <c r="W120">
        <v>0.76121371999999998</v>
      </c>
      <c r="X120">
        <v>0.75461741400000004</v>
      </c>
      <c r="Y120">
        <v>0.76385224299999999</v>
      </c>
      <c r="Z120">
        <v>0.765171504</v>
      </c>
      <c r="AA120">
        <v>0.765831135</v>
      </c>
      <c r="AB120">
        <v>0.75593667499999995</v>
      </c>
    </row>
    <row r="121" spans="1:43">
      <c r="A121" s="23">
        <v>447</v>
      </c>
      <c r="B121" t="s">
        <v>113</v>
      </c>
      <c r="C121">
        <v>260</v>
      </c>
      <c r="D121" t="s">
        <v>117</v>
      </c>
      <c r="E121">
        <v>1999</v>
      </c>
      <c r="F121">
        <v>1</v>
      </c>
      <c r="G121">
        <v>0.92152917499999998</v>
      </c>
      <c r="H121">
        <v>0.80885311900000001</v>
      </c>
      <c r="I121">
        <v>0.90040241399999998</v>
      </c>
      <c r="J121">
        <v>0.64889335999999997</v>
      </c>
      <c r="K121">
        <v>0.68812877299999997</v>
      </c>
      <c r="L121">
        <v>0.62374245500000003</v>
      </c>
      <c r="M121">
        <v>0.5</v>
      </c>
      <c r="N121">
        <v>0.50100603600000004</v>
      </c>
      <c r="O121">
        <v>0.54828973800000003</v>
      </c>
      <c r="P121">
        <v>0.53319919500000001</v>
      </c>
      <c r="Q121">
        <v>0.54929577500000004</v>
      </c>
      <c r="R121">
        <v>0.58249496999999995</v>
      </c>
      <c r="S121">
        <v>0.58853118699999996</v>
      </c>
      <c r="T121">
        <v>0.63581488900000005</v>
      </c>
      <c r="U121">
        <v>0.65492957699999998</v>
      </c>
      <c r="V121">
        <v>0.69114688099999999</v>
      </c>
      <c r="W121">
        <v>0.63279678100000003</v>
      </c>
      <c r="X121">
        <v>0.65794768599999998</v>
      </c>
      <c r="Y121">
        <v>0.62676056300000005</v>
      </c>
      <c r="Z121">
        <v>0.63581488900000005</v>
      </c>
      <c r="AA121">
        <v>0.61368209299999998</v>
      </c>
      <c r="AB121">
        <v>0.53521126799999996</v>
      </c>
      <c r="AC121">
        <v>0.55030181099999997</v>
      </c>
    </row>
    <row r="122" spans="1:43">
      <c r="A122">
        <v>448</v>
      </c>
      <c r="B122" t="s">
        <v>113</v>
      </c>
      <c r="C122">
        <v>220</v>
      </c>
      <c r="D122" t="s">
        <v>117</v>
      </c>
      <c r="E122">
        <v>1984</v>
      </c>
      <c r="F122">
        <v>1</v>
      </c>
      <c r="G122">
        <v>1.0070472159999999</v>
      </c>
      <c r="H122">
        <v>0.66807611</v>
      </c>
      <c r="I122">
        <v>0.88653981699999995</v>
      </c>
      <c r="J122">
        <v>0.79422128299999994</v>
      </c>
      <c r="K122">
        <v>0.87103594100000004</v>
      </c>
      <c r="L122">
        <v>0.88372092999999996</v>
      </c>
      <c r="M122">
        <v>0.86469344599999998</v>
      </c>
      <c r="N122">
        <v>0.825229035</v>
      </c>
      <c r="O122">
        <v>0.87103594100000004</v>
      </c>
      <c r="P122">
        <v>0.85764622999999995</v>
      </c>
      <c r="Q122">
        <v>0.86962649800000003</v>
      </c>
      <c r="R122">
        <v>0.88724453800000003</v>
      </c>
      <c r="S122">
        <v>0.85200845700000005</v>
      </c>
      <c r="T122">
        <v>0.87455954899999999</v>
      </c>
      <c r="U122">
        <v>0.91261451699999996</v>
      </c>
      <c r="V122">
        <v>0.89006342500000002</v>
      </c>
      <c r="W122">
        <v>0.87033121899999999</v>
      </c>
      <c r="X122">
        <v>0.89288231100000004</v>
      </c>
      <c r="Y122">
        <v>0.86892177599999998</v>
      </c>
      <c r="Z122">
        <v>0.85553206500000001</v>
      </c>
      <c r="AA122">
        <v>0.80761099400000003</v>
      </c>
      <c r="AB122">
        <v>0.77942212799999999</v>
      </c>
      <c r="AC122">
        <v>0.76532769599999995</v>
      </c>
      <c r="AD122">
        <v>0.80126849899999997</v>
      </c>
      <c r="AE122">
        <v>0.85623678599999997</v>
      </c>
      <c r="AF122">
        <v>0.89429175500000002</v>
      </c>
      <c r="AG122">
        <v>0.87385482699999995</v>
      </c>
      <c r="AH122">
        <v>0.86398872400000004</v>
      </c>
      <c r="AI122">
        <v>0.86539816800000002</v>
      </c>
      <c r="AJ122">
        <v>0.86751233299999997</v>
      </c>
      <c r="AK122">
        <v>0.88653981699999995</v>
      </c>
      <c r="AL122">
        <v>0.87385482699999995</v>
      </c>
      <c r="AM122">
        <v>0.85694150800000002</v>
      </c>
      <c r="AN122">
        <v>0.85764622999999995</v>
      </c>
      <c r="AO122">
        <v>0.83650458100000002</v>
      </c>
      <c r="AP122">
        <v>0.84496123999999995</v>
      </c>
      <c r="AQ122">
        <v>0.86187455999999996</v>
      </c>
    </row>
    <row r="123" spans="1:43">
      <c r="A123" s="23">
        <v>451</v>
      </c>
      <c r="B123" t="s">
        <v>113</v>
      </c>
      <c r="C123">
        <v>240</v>
      </c>
      <c r="D123" t="s">
        <v>117</v>
      </c>
      <c r="E123">
        <v>2016</v>
      </c>
      <c r="F123">
        <v>1</v>
      </c>
      <c r="G123">
        <v>1.013740458</v>
      </c>
      <c r="H123">
        <v>1.020610687</v>
      </c>
      <c r="I123">
        <v>0.62366412199999999</v>
      </c>
      <c r="J123">
        <v>0.71908396900000005</v>
      </c>
      <c r="K123">
        <v>0.93435114500000005</v>
      </c>
      <c r="L123">
        <v>0.89694656500000003</v>
      </c>
    </row>
    <row r="124" spans="1:43">
      <c r="A124">
        <v>457</v>
      </c>
      <c r="B124" t="s">
        <v>113</v>
      </c>
      <c r="C124">
        <v>240</v>
      </c>
      <c r="D124" t="s">
        <v>117</v>
      </c>
      <c r="E124">
        <v>1988</v>
      </c>
      <c r="F124">
        <v>1</v>
      </c>
      <c r="G124">
        <v>0.80617678400000004</v>
      </c>
      <c r="H124">
        <v>0.74547390800000002</v>
      </c>
      <c r="I124">
        <v>0.86687965899999997</v>
      </c>
      <c r="J124">
        <v>0.79233226800000001</v>
      </c>
      <c r="K124">
        <v>0.79339723100000004</v>
      </c>
      <c r="L124">
        <v>0.70394036199999999</v>
      </c>
      <c r="M124">
        <v>0.65282215099999996</v>
      </c>
      <c r="N124">
        <v>0.64217252400000002</v>
      </c>
      <c r="O124">
        <v>0.62300319500000001</v>
      </c>
      <c r="P124">
        <v>0.65175718800000004</v>
      </c>
      <c r="Q124">
        <v>0.57401490899999996</v>
      </c>
      <c r="R124">
        <v>0.63152289699999997</v>
      </c>
      <c r="S124">
        <v>0.59957401499999996</v>
      </c>
      <c r="T124">
        <v>0.65388711399999999</v>
      </c>
      <c r="U124">
        <v>0.59211927600000003</v>
      </c>
      <c r="V124">
        <v>0.55271565499999997</v>
      </c>
      <c r="W124">
        <v>0.57188498399999999</v>
      </c>
      <c r="X124">
        <v>0.51863684799999998</v>
      </c>
      <c r="Y124">
        <v>0.50159744399999995</v>
      </c>
      <c r="Z124">
        <v>0.50372737000000001</v>
      </c>
      <c r="AA124">
        <v>0.44515442</v>
      </c>
      <c r="AB124">
        <v>0.48455804000000002</v>
      </c>
      <c r="AC124">
        <v>0.49520766799999999</v>
      </c>
      <c r="AD124">
        <v>0.52928647500000003</v>
      </c>
      <c r="AE124">
        <v>0.54419595300000001</v>
      </c>
      <c r="AF124">
        <v>0.50372737000000001</v>
      </c>
      <c r="AG124">
        <v>0.50905218299999999</v>
      </c>
      <c r="AH124">
        <v>0.52076677299999996</v>
      </c>
      <c r="AI124">
        <v>0.56762513299999995</v>
      </c>
      <c r="AJ124">
        <v>0.51863684799999998</v>
      </c>
      <c r="AK124">
        <v>0.51118210900000005</v>
      </c>
      <c r="AL124">
        <v>0.48988285399999998</v>
      </c>
      <c r="AM124">
        <v>0.55484557999999995</v>
      </c>
      <c r="AN124">
        <v>0.54845580400000005</v>
      </c>
    </row>
    <row r="125" spans="1:43">
      <c r="A125">
        <v>465</v>
      </c>
      <c r="B125" t="s">
        <v>113</v>
      </c>
      <c r="C125">
        <v>460</v>
      </c>
      <c r="D125" t="s">
        <v>117</v>
      </c>
      <c r="E125">
        <v>2000</v>
      </c>
      <c r="F125">
        <v>1</v>
      </c>
      <c r="G125">
        <v>0.931846866</v>
      </c>
      <c r="H125">
        <v>0.87505258699999999</v>
      </c>
      <c r="I125">
        <v>0.81026503999999999</v>
      </c>
      <c r="J125">
        <v>0.94446781700000004</v>
      </c>
      <c r="K125">
        <v>0.84139671900000002</v>
      </c>
      <c r="L125">
        <v>0.86453512799999999</v>
      </c>
      <c r="M125">
        <v>0.90323937700000001</v>
      </c>
      <c r="N125">
        <v>0.87925957099999996</v>
      </c>
      <c r="O125">
        <v>0.93984013499999997</v>
      </c>
      <c r="P125">
        <v>0.90534286900000005</v>
      </c>
      <c r="Q125">
        <v>0.96592343300000005</v>
      </c>
      <c r="R125">
        <v>0.98695835099999996</v>
      </c>
      <c r="S125">
        <v>0.99368952499999996</v>
      </c>
      <c r="T125">
        <v>0.97980647899999995</v>
      </c>
      <c r="U125">
        <v>1.0050483800000001</v>
      </c>
      <c r="V125">
        <v>0.91165334499999995</v>
      </c>
      <c r="W125">
        <v>0.92427429500000002</v>
      </c>
      <c r="X125">
        <v>0.94446781700000004</v>
      </c>
      <c r="Y125">
        <v>0.95624737100000001</v>
      </c>
      <c r="Z125">
        <v>0.93437105600000003</v>
      </c>
      <c r="AA125">
        <v>0.92427429500000002</v>
      </c>
      <c r="AB125">
        <v>0.91333613800000002</v>
      </c>
    </row>
    <row r="126" spans="1:43">
      <c r="A126">
        <v>468</v>
      </c>
      <c r="B126" t="s">
        <v>113</v>
      </c>
      <c r="C126">
        <v>360</v>
      </c>
      <c r="D126" t="s">
        <v>117</v>
      </c>
      <c r="E126">
        <v>2010</v>
      </c>
      <c r="F126">
        <v>1</v>
      </c>
      <c r="G126">
        <v>0.89476553999999997</v>
      </c>
      <c r="H126">
        <v>0.84732824399999995</v>
      </c>
      <c r="I126">
        <v>0.86804798299999997</v>
      </c>
      <c r="J126">
        <v>0.75899672799999995</v>
      </c>
      <c r="K126">
        <v>0.80043620500000001</v>
      </c>
      <c r="L126">
        <v>0.65703380600000005</v>
      </c>
      <c r="M126">
        <v>0.65757906200000005</v>
      </c>
      <c r="N126">
        <v>0.67011995599999996</v>
      </c>
      <c r="O126">
        <v>0.69193020699999996</v>
      </c>
      <c r="P126">
        <v>0.68266085099999996</v>
      </c>
      <c r="Q126">
        <v>0.68538713200000001</v>
      </c>
      <c r="R126">
        <v>0.67829879999999998</v>
      </c>
    </row>
    <row r="127" spans="1:43">
      <c r="A127">
        <v>470</v>
      </c>
      <c r="B127" t="s">
        <v>113</v>
      </c>
      <c r="C127">
        <v>360</v>
      </c>
      <c r="D127" t="s">
        <v>117</v>
      </c>
      <c r="E127">
        <v>2018</v>
      </c>
      <c r="F127">
        <v>1</v>
      </c>
      <c r="G127">
        <v>0.82665222100000002</v>
      </c>
      <c r="H127">
        <v>0.54712892700000004</v>
      </c>
      <c r="I127">
        <v>0.46722643600000002</v>
      </c>
      <c r="J127">
        <v>0.39978331499999997</v>
      </c>
    </row>
    <row r="128" spans="1:43">
      <c r="A128">
        <v>471</v>
      </c>
      <c r="B128" t="s">
        <v>113</v>
      </c>
      <c r="C128">
        <v>360</v>
      </c>
      <c r="D128" t="s">
        <v>117</v>
      </c>
      <c r="E128">
        <v>2016</v>
      </c>
      <c r="F128">
        <v>1</v>
      </c>
      <c r="G128">
        <v>0.92664756400000003</v>
      </c>
      <c r="H128">
        <v>0.67392550100000004</v>
      </c>
      <c r="I128">
        <v>0.49226361000000002</v>
      </c>
      <c r="J128">
        <v>0.39828080199999999</v>
      </c>
      <c r="K128">
        <v>0.394269341</v>
      </c>
      <c r="L128">
        <v>0.38452722099999997</v>
      </c>
    </row>
    <row r="129" spans="1:43">
      <c r="A129" s="23">
        <v>478</v>
      </c>
      <c r="B129" t="s">
        <v>113</v>
      </c>
      <c r="C129">
        <v>340</v>
      </c>
      <c r="D129" t="s">
        <v>117</v>
      </c>
      <c r="E129">
        <v>2010</v>
      </c>
      <c r="F129">
        <v>1</v>
      </c>
      <c r="G129">
        <v>0.80577647600000002</v>
      </c>
      <c r="H129">
        <v>0.82251988300000001</v>
      </c>
      <c r="I129">
        <v>0.74257011299999998</v>
      </c>
      <c r="J129">
        <v>0.61866889899999999</v>
      </c>
      <c r="K129">
        <v>0.77354541600000004</v>
      </c>
      <c r="L129">
        <v>0.72415236500000002</v>
      </c>
      <c r="M129">
        <v>0.71159481000000002</v>
      </c>
      <c r="N129">
        <v>0.63206362500000002</v>
      </c>
      <c r="O129">
        <v>0.63415655100000001</v>
      </c>
      <c r="P129">
        <v>0.61197153599999998</v>
      </c>
      <c r="Q129">
        <v>0.63708664699999995</v>
      </c>
      <c r="R129">
        <v>0.62536626200000001</v>
      </c>
    </row>
    <row r="130" spans="1:43">
      <c r="A130">
        <v>479</v>
      </c>
      <c r="B130" t="s">
        <v>113</v>
      </c>
      <c r="C130">
        <v>440</v>
      </c>
      <c r="D130" t="s">
        <v>117</v>
      </c>
      <c r="E130">
        <v>2013</v>
      </c>
      <c r="F130">
        <v>1</v>
      </c>
      <c r="G130">
        <v>0.87088678200000003</v>
      </c>
      <c r="H130">
        <v>0.75432236500000005</v>
      </c>
      <c r="I130">
        <v>0.68042387100000001</v>
      </c>
      <c r="J130" s="24">
        <v>0.69297267200000001</v>
      </c>
      <c r="K130">
        <v>0.710819855</v>
      </c>
    </row>
    <row r="131" spans="1:43">
      <c r="A131" s="23">
        <v>480</v>
      </c>
      <c r="B131" t="s">
        <v>113</v>
      </c>
      <c r="C131">
        <v>540</v>
      </c>
      <c r="D131" t="s">
        <v>117</v>
      </c>
      <c r="E131">
        <v>1990</v>
      </c>
      <c r="F131">
        <v>1</v>
      </c>
      <c r="G131">
        <v>0.89101449300000002</v>
      </c>
      <c r="H131">
        <v>0.94086956499999996</v>
      </c>
      <c r="I131">
        <v>0.88463768099999995</v>
      </c>
      <c r="J131">
        <v>0.84463768100000003</v>
      </c>
      <c r="K131">
        <v>0.63304347800000005</v>
      </c>
      <c r="L131">
        <v>0.79971014500000004</v>
      </c>
      <c r="M131">
        <v>0.79072463800000004</v>
      </c>
      <c r="N131">
        <v>0.84115941999999999</v>
      </c>
      <c r="O131">
        <v>0.80898550700000005</v>
      </c>
      <c r="P131">
        <v>0.81449275399999999</v>
      </c>
      <c r="Q131">
        <v>0.78811594200000001</v>
      </c>
      <c r="R131">
        <v>0.68521739100000001</v>
      </c>
      <c r="S131">
        <v>0.64347826100000005</v>
      </c>
      <c r="T131">
        <v>0.65942029000000002</v>
      </c>
      <c r="U131">
        <v>0.63130434800000002</v>
      </c>
      <c r="V131">
        <v>0.63449275400000005</v>
      </c>
      <c r="W131">
        <v>0.62695652199999996</v>
      </c>
      <c r="X131">
        <v>0.60057970999999999</v>
      </c>
      <c r="Y131">
        <v>0.59594202900000004</v>
      </c>
      <c r="Z131">
        <v>0.57768115900000006</v>
      </c>
      <c r="AA131">
        <v>0.59565217400000003</v>
      </c>
      <c r="AB131">
        <v>0.58927536199999997</v>
      </c>
      <c r="AC131">
        <v>0.59623188400000005</v>
      </c>
      <c r="AD131">
        <v>0.59768115899999996</v>
      </c>
      <c r="AE131">
        <v>0.60550724600000005</v>
      </c>
      <c r="AF131">
        <v>0.59739130399999996</v>
      </c>
      <c r="AG131">
        <v>0.59391304300000003</v>
      </c>
      <c r="AH131">
        <v>0.58724637700000004</v>
      </c>
      <c r="AI131">
        <v>0.59710144899999995</v>
      </c>
      <c r="AJ131">
        <v>0.58028985499999997</v>
      </c>
      <c r="AK131">
        <v>0.58898550699999996</v>
      </c>
      <c r="AL131">
        <v>0.57275362299999999</v>
      </c>
    </row>
    <row r="132" spans="1:43">
      <c r="A132">
        <v>483</v>
      </c>
      <c r="B132" t="s">
        <v>113</v>
      </c>
      <c r="C132">
        <v>360</v>
      </c>
      <c r="D132" t="s">
        <v>117</v>
      </c>
      <c r="E132">
        <v>2013</v>
      </c>
      <c r="F132">
        <v>1</v>
      </c>
      <c r="G132">
        <v>0.87054833200000004</v>
      </c>
      <c r="H132">
        <v>0.85669870000000004</v>
      </c>
      <c r="I132">
        <v>0.63086489499999998</v>
      </c>
      <c r="J132">
        <v>0.66082532500000002</v>
      </c>
      <c r="K132">
        <v>0.70689655200000001</v>
      </c>
      <c r="L132">
        <v>0.86630864900000004</v>
      </c>
      <c r="M132">
        <v>0.89118145800000004</v>
      </c>
      <c r="N132">
        <v>0.88015828200000001</v>
      </c>
      <c r="O132">
        <v>0.87535330700000002</v>
      </c>
    </row>
    <row r="133" spans="1:43">
      <c r="A133">
        <v>485</v>
      </c>
      <c r="B133" t="s">
        <v>113</v>
      </c>
      <c r="C133">
        <v>360</v>
      </c>
      <c r="D133" t="s">
        <v>117</v>
      </c>
      <c r="E133">
        <v>2014</v>
      </c>
      <c r="F133">
        <v>1</v>
      </c>
      <c r="G133">
        <v>0.96400719899999998</v>
      </c>
      <c r="H133">
        <v>0.77204559100000003</v>
      </c>
      <c r="I133">
        <v>0.74745050999999996</v>
      </c>
      <c r="J133">
        <v>0.74685062999999996</v>
      </c>
      <c r="K133">
        <v>0.63527294499999998</v>
      </c>
      <c r="L133">
        <v>0.68326334700000002</v>
      </c>
      <c r="M133">
        <v>0.75464907000000003</v>
      </c>
      <c r="N133">
        <v>0.68266346700000002</v>
      </c>
    </row>
    <row r="134" spans="1:43">
      <c r="A134">
        <v>487</v>
      </c>
      <c r="B134" t="s">
        <v>113</v>
      </c>
      <c r="C134">
        <v>380</v>
      </c>
      <c r="D134" t="s">
        <v>117</v>
      </c>
      <c r="E134">
        <v>1992</v>
      </c>
      <c r="F134">
        <v>1</v>
      </c>
      <c r="G134">
        <v>0.86631016000000005</v>
      </c>
      <c r="H134">
        <v>0.59893048100000001</v>
      </c>
      <c r="I134">
        <v>0.51777288499999996</v>
      </c>
      <c r="J134">
        <v>0.59672853100000001</v>
      </c>
      <c r="K134">
        <v>0.37967914400000002</v>
      </c>
      <c r="L134">
        <v>0.38785781699999999</v>
      </c>
      <c r="M134">
        <v>0.316451714</v>
      </c>
      <c r="N134">
        <v>0.41585404199999998</v>
      </c>
      <c r="O134">
        <v>0.32903428800000001</v>
      </c>
      <c r="P134">
        <v>0.350424662</v>
      </c>
      <c r="Q134">
        <v>0.27964768800000001</v>
      </c>
      <c r="R134">
        <v>0.277445738</v>
      </c>
      <c r="S134">
        <v>0.25133689799999998</v>
      </c>
      <c r="T134">
        <v>0.24315822600000001</v>
      </c>
      <c r="U134">
        <v>0.24882038400000001</v>
      </c>
      <c r="V134">
        <v>0.231204781</v>
      </c>
      <c r="W134">
        <v>0.23655237500000001</v>
      </c>
      <c r="X134">
        <v>0.225542623</v>
      </c>
      <c r="Y134">
        <v>0.23718150399999999</v>
      </c>
      <c r="Z134">
        <v>0.23875432499999999</v>
      </c>
      <c r="AA134">
        <v>0.25007864099999999</v>
      </c>
      <c r="AB134">
        <v>0.25794274900000003</v>
      </c>
      <c r="AC134">
        <v>0.24347278999999999</v>
      </c>
      <c r="AD134">
        <v>0.23623781099999999</v>
      </c>
      <c r="AE134">
        <v>0.244101919</v>
      </c>
      <c r="AF134" s="24">
        <v>0.252280591</v>
      </c>
      <c r="AG134">
        <v>0.35388486899999999</v>
      </c>
      <c r="AH134">
        <v>0.27933312399999999</v>
      </c>
      <c r="AI134">
        <v>0.29631959699999999</v>
      </c>
      <c r="AJ134">
        <v>0.29820698299999998</v>
      </c>
    </row>
    <row r="135" spans="1:43">
      <c r="A135">
        <v>490</v>
      </c>
      <c r="B135" t="s">
        <v>113</v>
      </c>
      <c r="C135">
        <v>420</v>
      </c>
      <c r="D135" t="s">
        <v>117</v>
      </c>
      <c r="E135">
        <v>2014</v>
      </c>
      <c r="F135">
        <v>1</v>
      </c>
      <c r="G135">
        <v>0.93398812200000003</v>
      </c>
      <c r="H135">
        <v>0.73001370499999996</v>
      </c>
      <c r="I135">
        <v>0.76793056199999998</v>
      </c>
      <c r="J135">
        <v>0.70397441800000005</v>
      </c>
      <c r="K135">
        <v>0.67313841900000004</v>
      </c>
      <c r="L135">
        <v>0.57651895799999997</v>
      </c>
      <c r="M135">
        <v>0.54339881199999995</v>
      </c>
      <c r="N135">
        <v>0.55573321200000003</v>
      </c>
    </row>
    <row r="136" spans="1:43">
      <c r="A136" s="23">
        <v>491</v>
      </c>
      <c r="B136" t="s">
        <v>113</v>
      </c>
      <c r="C136">
        <v>320</v>
      </c>
      <c r="D136" t="s">
        <v>117</v>
      </c>
      <c r="E136">
        <v>1984</v>
      </c>
      <c r="F136">
        <v>1</v>
      </c>
      <c r="G136">
        <v>1.002446269</v>
      </c>
      <c r="H136">
        <v>1.0096103439999999</v>
      </c>
      <c r="I136">
        <v>0.74104490700000003</v>
      </c>
      <c r="J136">
        <v>0.88100646500000002</v>
      </c>
      <c r="K136">
        <v>0.87314345599999998</v>
      </c>
      <c r="L136">
        <v>0.61453782999999995</v>
      </c>
      <c r="M136">
        <v>0.75292678700000004</v>
      </c>
      <c r="N136">
        <v>0.83609994799999998</v>
      </c>
      <c r="O136">
        <v>0.81408352299999998</v>
      </c>
      <c r="P136">
        <v>0.75100471800000002</v>
      </c>
      <c r="Q136">
        <v>0.80097850800000003</v>
      </c>
      <c r="R136">
        <v>0.78507775599999996</v>
      </c>
      <c r="S136">
        <v>0.71099073899999998</v>
      </c>
      <c r="T136">
        <v>0.68582911099999999</v>
      </c>
      <c r="U136">
        <v>0.69456578700000005</v>
      </c>
      <c r="V136">
        <v>0.73964703799999998</v>
      </c>
      <c r="W136">
        <v>0.767779137</v>
      </c>
      <c r="X136">
        <v>0.76673073599999997</v>
      </c>
      <c r="Y136">
        <v>0.74366590899999996</v>
      </c>
      <c r="Z136">
        <v>0.72514415499999996</v>
      </c>
      <c r="AA136">
        <v>0.73283243099999995</v>
      </c>
      <c r="AB136">
        <v>0.70889393700000003</v>
      </c>
      <c r="AC136">
        <v>0.74576271199999999</v>
      </c>
      <c r="AD136">
        <v>0.73615236799999995</v>
      </c>
      <c r="AE136">
        <v>0.75677092400000001</v>
      </c>
      <c r="AF136">
        <v>0.75851826</v>
      </c>
      <c r="AG136">
        <v>0.74226804099999999</v>
      </c>
      <c r="AH136">
        <v>0.74314170899999998</v>
      </c>
      <c r="AI136">
        <v>0.74436484400000003</v>
      </c>
      <c r="AJ136">
        <v>0.77162327500000005</v>
      </c>
      <c r="AK136">
        <v>0.78158308600000004</v>
      </c>
      <c r="AL136">
        <v>0.73125982899999997</v>
      </c>
      <c r="AM136">
        <v>0.74314170899999998</v>
      </c>
      <c r="AN136">
        <v>0.73667656800000003</v>
      </c>
      <c r="AO136">
        <v>0.76445920000000001</v>
      </c>
      <c r="AP136">
        <v>0.739122838</v>
      </c>
      <c r="AQ136">
        <v>0.74017123900000004</v>
      </c>
    </row>
    <row r="137" spans="1:43">
      <c r="A137" s="23">
        <v>493</v>
      </c>
      <c r="B137" t="s">
        <v>113</v>
      </c>
      <c r="C137">
        <v>220</v>
      </c>
      <c r="D137" t="s">
        <v>117</v>
      </c>
      <c r="E137">
        <v>1995</v>
      </c>
      <c r="F137">
        <v>1</v>
      </c>
      <c r="G137">
        <v>0.84176632900000004</v>
      </c>
      <c r="H137">
        <v>0.578656854</v>
      </c>
      <c r="I137">
        <v>0.452621895</v>
      </c>
      <c r="J137">
        <v>0.37350506</v>
      </c>
      <c r="K137">
        <v>0.33394664200000002</v>
      </c>
      <c r="L137">
        <v>0.23919043200000001</v>
      </c>
      <c r="M137">
        <v>0.44250230000000002</v>
      </c>
      <c r="N137">
        <v>0.32934682599999998</v>
      </c>
      <c r="O137">
        <v>0.26126954899999999</v>
      </c>
      <c r="P137">
        <v>0.247470101</v>
      </c>
      <c r="Q137">
        <v>0.168353266</v>
      </c>
      <c r="S137">
        <v>0.156393744</v>
      </c>
      <c r="T137">
        <v>0.38546458099999997</v>
      </c>
      <c r="U137">
        <v>0.24287028499999999</v>
      </c>
      <c r="V137">
        <v>0.21435142600000001</v>
      </c>
      <c r="W137">
        <v>0.38086476499999999</v>
      </c>
      <c r="X137">
        <v>0.30542778300000001</v>
      </c>
      <c r="Y137">
        <v>0.40110395599999998</v>
      </c>
      <c r="Z137">
        <v>0.398344066</v>
      </c>
      <c r="AA137">
        <v>0.28886844499999997</v>
      </c>
      <c r="AB137">
        <v>0.27230910800000002</v>
      </c>
      <c r="AC137">
        <v>0.24563017500000001</v>
      </c>
      <c r="AD137">
        <v>0.38638454500000002</v>
      </c>
      <c r="AE137">
        <v>0.24931002799999999</v>
      </c>
      <c r="AF137">
        <v>0.32566697300000003</v>
      </c>
      <c r="AG137">
        <v>0.33486660499999998</v>
      </c>
    </row>
    <row r="138" spans="1:43">
      <c r="A138" s="23">
        <v>494</v>
      </c>
      <c r="B138" t="s">
        <v>113</v>
      </c>
      <c r="C138">
        <v>300</v>
      </c>
      <c r="D138" t="s">
        <v>117</v>
      </c>
      <c r="E138">
        <v>1993</v>
      </c>
      <c r="F138">
        <v>1</v>
      </c>
      <c r="G138">
        <v>0.78645833300000001</v>
      </c>
      <c r="H138">
        <v>0.781723485</v>
      </c>
      <c r="I138">
        <v>0.91098484800000001</v>
      </c>
      <c r="J138">
        <v>0.85748106099999999</v>
      </c>
      <c r="K138">
        <v>0.653409091</v>
      </c>
      <c r="L138">
        <v>0.759469697</v>
      </c>
      <c r="M138">
        <v>0.84185606099999999</v>
      </c>
      <c r="N138">
        <v>0.67660984800000001</v>
      </c>
      <c r="O138">
        <v>0.87642045499999999</v>
      </c>
      <c r="P138">
        <v>0.78835227299999999</v>
      </c>
      <c r="Q138">
        <v>0.690814394</v>
      </c>
      <c r="R138">
        <v>0.75</v>
      </c>
      <c r="S138">
        <v>0.753314394</v>
      </c>
      <c r="T138">
        <v>0.812026515</v>
      </c>
      <c r="U138">
        <v>0.71780303000000001</v>
      </c>
      <c r="V138">
        <v>0.853219697</v>
      </c>
      <c r="W138">
        <v>0.875473485</v>
      </c>
      <c r="X138">
        <v>0.794034091</v>
      </c>
      <c r="Y138">
        <v>0.55681818199999999</v>
      </c>
      <c r="Z138">
        <v>0.70454545499999999</v>
      </c>
      <c r="AA138">
        <v>0.74621212100000001</v>
      </c>
      <c r="AB138">
        <v>0.84375</v>
      </c>
      <c r="AC138">
        <v>0.69270833300000001</v>
      </c>
      <c r="AD138">
        <v>0.731060606</v>
      </c>
      <c r="AE138">
        <v>0.712121212</v>
      </c>
      <c r="AF138">
        <v>0.71448863600000001</v>
      </c>
      <c r="AG138">
        <v>0.69933712100000001</v>
      </c>
      <c r="AH138">
        <v>0.775094697</v>
      </c>
      <c r="AI138">
        <v>0.81818181800000001</v>
      </c>
    </row>
    <row r="139" spans="1:43">
      <c r="A139">
        <v>495</v>
      </c>
      <c r="B139" t="s">
        <v>113</v>
      </c>
      <c r="C139">
        <v>340</v>
      </c>
      <c r="D139" t="s">
        <v>117</v>
      </c>
      <c r="E139">
        <v>1988</v>
      </c>
      <c r="F139">
        <v>1</v>
      </c>
      <c r="G139">
        <v>0.90681114600000001</v>
      </c>
      <c r="H139">
        <v>0.94055727600000005</v>
      </c>
      <c r="I139">
        <v>0.87647058799999999</v>
      </c>
      <c r="J139">
        <v>0.67151702800000002</v>
      </c>
      <c r="K139">
        <v>0.79566563499999998</v>
      </c>
      <c r="L139">
        <v>0.81176470599999995</v>
      </c>
      <c r="M139">
        <v>0.72941176500000005</v>
      </c>
      <c r="N139">
        <v>0.72476780200000002</v>
      </c>
      <c r="O139">
        <v>0.67801857600000004</v>
      </c>
      <c r="P139">
        <v>0.69659442699999996</v>
      </c>
      <c r="Q139">
        <v>0.73808049499999995</v>
      </c>
      <c r="R139">
        <v>0.76718266300000004</v>
      </c>
      <c r="S139">
        <v>0.75882352900000005</v>
      </c>
      <c r="T139">
        <v>0.76625387</v>
      </c>
      <c r="U139">
        <v>0.67368421099999998</v>
      </c>
      <c r="V139">
        <v>0.76408668700000004</v>
      </c>
      <c r="W139">
        <v>0.822910217</v>
      </c>
      <c r="X139">
        <v>0.76408668700000004</v>
      </c>
      <c r="Y139">
        <v>0.67058823499999998</v>
      </c>
      <c r="Z139">
        <v>0.73839009300000003</v>
      </c>
      <c r="AA139">
        <v>0.83281733700000005</v>
      </c>
      <c r="AB139">
        <v>0.72817337500000001</v>
      </c>
      <c r="AC139">
        <v>0.72229102199999995</v>
      </c>
      <c r="AD139">
        <v>0.71269349800000004</v>
      </c>
      <c r="AE139">
        <v>0.75820433399999998</v>
      </c>
      <c r="AF139">
        <v>0.75882352900000005</v>
      </c>
      <c r="AG139">
        <v>0.750773994</v>
      </c>
      <c r="AH139">
        <v>0.65789473700000001</v>
      </c>
      <c r="AI139">
        <v>0.69349845200000004</v>
      </c>
      <c r="AJ139">
        <v>0.72229102199999995</v>
      </c>
      <c r="AK139">
        <v>0.71052631600000005</v>
      </c>
      <c r="AL139">
        <v>0.73560371499999999</v>
      </c>
      <c r="AM139">
        <v>0.66037151699999996</v>
      </c>
      <c r="AN139">
        <v>0.64798761599999999</v>
      </c>
    </row>
    <row r="140" spans="1:43">
      <c r="A140" s="23">
        <v>497</v>
      </c>
      <c r="B140" t="s">
        <v>113</v>
      </c>
      <c r="C140">
        <v>200</v>
      </c>
      <c r="D140" t="s">
        <v>117</v>
      </c>
      <c r="E140">
        <v>1996</v>
      </c>
      <c r="F140">
        <v>1</v>
      </c>
      <c r="G140">
        <v>0.92244525499999996</v>
      </c>
      <c r="H140">
        <v>0.73083941600000002</v>
      </c>
      <c r="I140">
        <v>0.65419707999999999</v>
      </c>
      <c r="J140">
        <v>0.60401459899999999</v>
      </c>
      <c r="K140">
        <v>0.66879562000000004</v>
      </c>
      <c r="L140">
        <v>0.750912409</v>
      </c>
      <c r="M140">
        <v>0.59671532800000004</v>
      </c>
      <c r="N140">
        <v>0.61040145999999995</v>
      </c>
      <c r="O140">
        <v>0.60492700700000002</v>
      </c>
      <c r="P140">
        <v>0.56386861300000002</v>
      </c>
      <c r="Q140">
        <v>0.624087591</v>
      </c>
      <c r="R140">
        <v>0.58576642300000004</v>
      </c>
      <c r="S140">
        <v>0.63777372300000001</v>
      </c>
      <c r="T140">
        <v>0.66149634999999996</v>
      </c>
      <c r="U140">
        <v>0.70529197099999996</v>
      </c>
      <c r="V140">
        <v>0.73357664199999995</v>
      </c>
      <c r="W140">
        <v>0.69981751800000003</v>
      </c>
      <c r="X140">
        <v>0.50364963500000004</v>
      </c>
      <c r="Y140">
        <v>0.64142335800000005</v>
      </c>
      <c r="Z140">
        <v>0.656934307</v>
      </c>
      <c r="AA140">
        <v>0.69160583899999994</v>
      </c>
      <c r="AB140">
        <v>0.68248175200000005</v>
      </c>
      <c r="AC140">
        <v>0.665145985</v>
      </c>
      <c r="AD140">
        <v>0.65054744499999995</v>
      </c>
      <c r="AE140">
        <v>0.69160583899999994</v>
      </c>
      <c r="AF140">
        <v>0.67883211700000001</v>
      </c>
    </row>
    <row r="141" spans="1:43">
      <c r="A141">
        <v>500</v>
      </c>
      <c r="B141" t="s">
        <v>113</v>
      </c>
      <c r="C141">
        <v>220</v>
      </c>
      <c r="D141" t="s">
        <v>117</v>
      </c>
      <c r="E141">
        <v>1998</v>
      </c>
      <c r="F141">
        <v>1</v>
      </c>
      <c r="G141">
        <v>0.83135257500000004</v>
      </c>
      <c r="H141">
        <v>0.65195246200000001</v>
      </c>
      <c r="I141">
        <v>0.49518958699999999</v>
      </c>
      <c r="J141">
        <v>0.58460667799999999</v>
      </c>
      <c r="K141">
        <v>0.51160158499999997</v>
      </c>
      <c r="L141">
        <v>0.62252405200000005</v>
      </c>
      <c r="M141">
        <v>0.57951329900000004</v>
      </c>
      <c r="N141">
        <v>0.52235427300000004</v>
      </c>
      <c r="O141">
        <v>0.59818902100000004</v>
      </c>
      <c r="P141">
        <v>0.492359932</v>
      </c>
      <c r="Q141">
        <v>0.56536502499999997</v>
      </c>
      <c r="R141">
        <v>0.55404640599999999</v>
      </c>
      <c r="S141">
        <v>0.54102999399999996</v>
      </c>
      <c r="T141">
        <v>0.60101867600000003</v>
      </c>
      <c r="U141">
        <v>0.536502547</v>
      </c>
      <c r="V141">
        <v>0.56819467999999995</v>
      </c>
      <c r="W141">
        <v>0.59479343500000004</v>
      </c>
      <c r="X141">
        <v>0.55800792300000002</v>
      </c>
      <c r="Y141">
        <v>0.557441992</v>
      </c>
      <c r="Z141">
        <v>0.572722128</v>
      </c>
      <c r="AA141">
        <v>0.59309564199999998</v>
      </c>
      <c r="AB141">
        <v>0.58064516099999997</v>
      </c>
      <c r="AC141">
        <v>0.608941709</v>
      </c>
      <c r="AD141">
        <v>0.63440860200000004</v>
      </c>
    </row>
    <row r="142" spans="1:43">
      <c r="A142">
        <v>504</v>
      </c>
      <c r="B142" t="s">
        <v>113</v>
      </c>
      <c r="C142">
        <v>200</v>
      </c>
      <c r="D142" t="s">
        <v>117</v>
      </c>
      <c r="E142">
        <v>2005</v>
      </c>
      <c r="F142">
        <v>1</v>
      </c>
      <c r="G142">
        <v>1.0010845989999999</v>
      </c>
      <c r="H142">
        <v>0.75813448999999999</v>
      </c>
      <c r="I142">
        <v>0.62689804800000004</v>
      </c>
      <c r="J142">
        <v>0.59869848199999998</v>
      </c>
      <c r="K142">
        <v>0.49891540099999998</v>
      </c>
      <c r="L142">
        <v>0.41757049899999998</v>
      </c>
      <c r="M142">
        <v>0.44577006499999999</v>
      </c>
      <c r="N142">
        <v>0.25271149700000001</v>
      </c>
      <c r="O142">
        <v>0.257049892</v>
      </c>
      <c r="P142">
        <v>0.25271149700000001</v>
      </c>
      <c r="Q142" s="24">
        <v>0.212581345</v>
      </c>
    </row>
    <row r="143" spans="1:43">
      <c r="A143" s="23">
        <v>509</v>
      </c>
      <c r="B143" t="s">
        <v>113</v>
      </c>
      <c r="C143">
        <v>220</v>
      </c>
      <c r="D143" t="s">
        <v>117</v>
      </c>
      <c r="E143">
        <v>2013</v>
      </c>
      <c r="F143">
        <v>1</v>
      </c>
      <c r="G143">
        <v>0.91044776100000002</v>
      </c>
      <c r="H143">
        <v>0.62593283600000005</v>
      </c>
      <c r="I143">
        <v>0.51305970099999998</v>
      </c>
      <c r="J143">
        <v>0.50746268699999997</v>
      </c>
      <c r="K143">
        <v>0.50279850699999995</v>
      </c>
      <c r="L143">
        <v>0.75186567199999998</v>
      </c>
      <c r="M143">
        <v>0.53871268699999997</v>
      </c>
      <c r="N143">
        <v>0.50326492499999997</v>
      </c>
      <c r="O143">
        <v>0.45055970099999998</v>
      </c>
    </row>
    <row r="144" spans="1:43">
      <c r="A144">
        <v>533</v>
      </c>
      <c r="B144" t="s">
        <v>113</v>
      </c>
      <c r="C144">
        <v>780</v>
      </c>
      <c r="D144" t="s">
        <v>117</v>
      </c>
      <c r="E144">
        <v>1995</v>
      </c>
      <c r="F144">
        <v>1</v>
      </c>
      <c r="G144">
        <v>0.80071113199999999</v>
      </c>
      <c r="H144">
        <v>0.744508803</v>
      </c>
      <c r="I144">
        <v>0.756150714</v>
      </c>
      <c r="J144">
        <v>0.68796237900000001</v>
      </c>
      <c r="K144">
        <v>0.76165624799999998</v>
      </c>
      <c r="L144">
        <v>0.72489533799999994</v>
      </c>
      <c r="M144">
        <v>0.76360612500000002</v>
      </c>
      <c r="N144">
        <v>0.70654355700000004</v>
      </c>
      <c r="O144">
        <v>0.67167517300000001</v>
      </c>
      <c r="P144">
        <v>0.65974651600000001</v>
      </c>
      <c r="Q144">
        <v>0.678958536</v>
      </c>
      <c r="R144">
        <v>0.69558983799999996</v>
      </c>
      <c r="S144">
        <v>0.66026266</v>
      </c>
      <c r="T144">
        <v>0.64776050900000004</v>
      </c>
      <c r="U144">
        <v>0.68217009799999995</v>
      </c>
      <c r="V144">
        <v>0.67201926899999997</v>
      </c>
      <c r="W144">
        <v>0.66370361899999997</v>
      </c>
      <c r="X144">
        <v>0.68343178299999996</v>
      </c>
      <c r="Y144">
        <v>0.68274359100000004</v>
      </c>
      <c r="Z144">
        <v>0.66766072099999996</v>
      </c>
      <c r="AA144">
        <v>0.65601881100000003</v>
      </c>
      <c r="AB144">
        <v>0.65544531699999997</v>
      </c>
      <c r="AC144">
        <v>0.65447037900000005</v>
      </c>
      <c r="AD144">
        <v>0.64965303699999999</v>
      </c>
      <c r="AE144">
        <v>0.64231232400000005</v>
      </c>
      <c r="AF144">
        <v>0.64386075600000003</v>
      </c>
      <c r="AG144">
        <v>0.64168148199999997</v>
      </c>
    </row>
    <row r="145" spans="1:43">
      <c r="A145" s="23">
        <v>537</v>
      </c>
      <c r="B145" t="s">
        <v>113</v>
      </c>
      <c r="C145">
        <v>220</v>
      </c>
      <c r="D145" t="s">
        <v>117</v>
      </c>
      <c r="E145">
        <v>1996</v>
      </c>
      <c r="F145">
        <v>1</v>
      </c>
      <c r="G145">
        <v>0.67160493799999998</v>
      </c>
      <c r="H145">
        <v>0.487654321</v>
      </c>
      <c r="I145">
        <v>0.44074074099999999</v>
      </c>
      <c r="J145">
        <v>0.49012345699999998</v>
      </c>
      <c r="K145">
        <v>0.65925925900000004</v>
      </c>
      <c r="L145">
        <v>0.38765432100000002</v>
      </c>
      <c r="M145">
        <v>0.42345679000000003</v>
      </c>
      <c r="N145">
        <v>0.46666666699999998</v>
      </c>
      <c r="O145">
        <v>0.45308641999999999</v>
      </c>
      <c r="P145">
        <v>0.4</v>
      </c>
      <c r="Q145">
        <v>0.40493827199999999</v>
      </c>
      <c r="R145">
        <v>0.44197530899999998</v>
      </c>
      <c r="S145">
        <v>0.42469135800000002</v>
      </c>
      <c r="T145">
        <v>0.41358024700000001</v>
      </c>
      <c r="U145">
        <v>0.475308642</v>
      </c>
      <c r="V145">
        <v>0.45061728400000001</v>
      </c>
      <c r="W145">
        <v>0.41728395099999999</v>
      </c>
      <c r="X145">
        <v>0.40864197499999999</v>
      </c>
      <c r="Y145">
        <v>0.414814815</v>
      </c>
      <c r="Z145">
        <v>0.414814815</v>
      </c>
      <c r="AA145">
        <v>0.44074074099999999</v>
      </c>
      <c r="AB145">
        <v>0.42592592600000001</v>
      </c>
      <c r="AC145">
        <v>0.40617283999999998</v>
      </c>
      <c r="AD145">
        <v>0.407407407</v>
      </c>
      <c r="AE145">
        <v>0.414814815</v>
      </c>
      <c r="AF145">
        <v>0.40493827199999999</v>
      </c>
    </row>
    <row r="146" spans="1:43">
      <c r="A146" s="23">
        <v>539</v>
      </c>
      <c r="B146" t="s">
        <v>113</v>
      </c>
      <c r="C146">
        <v>220</v>
      </c>
      <c r="D146" t="s">
        <v>117</v>
      </c>
      <c r="E146">
        <v>2009</v>
      </c>
      <c r="F146">
        <v>1</v>
      </c>
      <c r="G146">
        <v>1.02406639</v>
      </c>
      <c r="H146">
        <v>0.87676348500000001</v>
      </c>
      <c r="I146">
        <v>0.80705394200000002</v>
      </c>
      <c r="J146">
        <v>0.88091286300000005</v>
      </c>
      <c r="K146">
        <v>0.81867219899999999</v>
      </c>
      <c r="L146">
        <v>0.59460580900000004</v>
      </c>
      <c r="M146">
        <v>0.53568464699999996</v>
      </c>
      <c r="N146">
        <v>0.45809128599999999</v>
      </c>
      <c r="O146">
        <v>0.76182572599999998</v>
      </c>
      <c r="P146">
        <v>0.45933610000000002</v>
      </c>
      <c r="Q146">
        <v>0.55643153499999998</v>
      </c>
      <c r="R146">
        <v>0.54315352699999997</v>
      </c>
      <c r="S146">
        <v>0.30580912900000001</v>
      </c>
    </row>
    <row r="147" spans="1:43">
      <c r="A147">
        <v>540</v>
      </c>
      <c r="B147" t="s">
        <v>113</v>
      </c>
      <c r="C147">
        <v>220</v>
      </c>
      <c r="D147" t="s">
        <v>117</v>
      </c>
      <c r="E147">
        <v>2018</v>
      </c>
      <c r="F147">
        <v>1</v>
      </c>
      <c r="G147">
        <v>0.94156456200000005</v>
      </c>
      <c r="H147">
        <v>0.89820923699999999</v>
      </c>
      <c r="I147">
        <v>0.87370405299999998</v>
      </c>
      <c r="J147">
        <v>0.79547596600000003</v>
      </c>
    </row>
    <row r="148" spans="1:43">
      <c r="A148" s="23">
        <v>541</v>
      </c>
      <c r="B148" t="s">
        <v>113</v>
      </c>
      <c r="C148">
        <v>220</v>
      </c>
      <c r="D148" t="s">
        <v>117</v>
      </c>
      <c r="E148">
        <v>1984</v>
      </c>
      <c r="F148">
        <v>1</v>
      </c>
      <c r="G148">
        <v>0.64465408800000001</v>
      </c>
      <c r="H148">
        <v>0.80267295599999999</v>
      </c>
      <c r="I148">
        <v>0.83411949699999999</v>
      </c>
      <c r="J148">
        <v>0.442610063</v>
      </c>
      <c r="K148">
        <v>0.54638364800000006</v>
      </c>
      <c r="L148">
        <v>0.54323899399999998</v>
      </c>
      <c r="M148">
        <v>0.59669811299999997</v>
      </c>
      <c r="N148">
        <v>0.696540881</v>
      </c>
      <c r="O148">
        <v>0.50235849099999996</v>
      </c>
      <c r="P148">
        <v>0.58333333300000001</v>
      </c>
      <c r="Q148">
        <v>0.65959119499999996</v>
      </c>
      <c r="R148">
        <v>0.357704403</v>
      </c>
      <c r="S148">
        <v>0.38757861599999999</v>
      </c>
      <c r="T148">
        <v>0.38050314499999999</v>
      </c>
      <c r="U148">
        <v>0.29716981100000001</v>
      </c>
      <c r="V148">
        <v>0.35141509399999998</v>
      </c>
      <c r="W148">
        <v>0.31053459100000003</v>
      </c>
      <c r="X148">
        <v>0.52987421400000001</v>
      </c>
      <c r="Y148">
        <v>0.28930817599999997</v>
      </c>
      <c r="Z148">
        <v>0.371069182</v>
      </c>
      <c r="AA148">
        <v>0.225628931</v>
      </c>
      <c r="AB148">
        <v>0.23506289299999999</v>
      </c>
      <c r="AC148">
        <v>0.307389937</v>
      </c>
      <c r="AD148">
        <v>0.24213836499999999</v>
      </c>
      <c r="AE148">
        <v>0.27358490600000002</v>
      </c>
      <c r="AF148">
        <v>0.22720125799999999</v>
      </c>
      <c r="AG148">
        <v>0.28380503099999999</v>
      </c>
      <c r="AH148">
        <v>0.261006289</v>
      </c>
      <c r="AI148">
        <v>0.19418239000000001</v>
      </c>
      <c r="AJ148">
        <v>0.21619496899999999</v>
      </c>
      <c r="AK148">
        <v>0.23427672999999999</v>
      </c>
      <c r="AL148">
        <v>0.246855346</v>
      </c>
      <c r="AM148">
        <v>0.19811320800000001</v>
      </c>
      <c r="AN148">
        <v>0.29088050300000001</v>
      </c>
      <c r="AO148">
        <v>0.210691824</v>
      </c>
      <c r="AP148">
        <v>0.20204402499999999</v>
      </c>
      <c r="AQ148">
        <v>0.19496855299999999</v>
      </c>
    </row>
    <row r="149" spans="1:43">
      <c r="A149" s="23">
        <v>542</v>
      </c>
      <c r="B149" t="s">
        <v>113</v>
      </c>
      <c r="C149">
        <v>220</v>
      </c>
      <c r="D149" t="s">
        <v>117</v>
      </c>
      <c r="E149">
        <v>2008</v>
      </c>
      <c r="F149">
        <v>1</v>
      </c>
      <c r="G149">
        <v>0.85538683999999998</v>
      </c>
      <c r="H149">
        <v>0.82357194499999997</v>
      </c>
      <c r="I149">
        <v>0.73608098300000002</v>
      </c>
      <c r="J149">
        <v>0.68908170599999996</v>
      </c>
      <c r="K149">
        <v>0.74765003600000002</v>
      </c>
      <c r="L149">
        <v>0.603036876</v>
      </c>
      <c r="M149">
        <v>0.87129428799999997</v>
      </c>
      <c r="N149">
        <v>0.727404194</v>
      </c>
      <c r="O149">
        <v>0.54229934899999999</v>
      </c>
      <c r="P149">
        <v>0.65943600899999999</v>
      </c>
      <c r="Q149">
        <v>0.45914678199999998</v>
      </c>
      <c r="R149">
        <v>0.66088214000000001</v>
      </c>
      <c r="S149" s="24">
        <v>0.37382501800000001</v>
      </c>
    </row>
    <row r="150" spans="1:43">
      <c r="A150">
        <v>552</v>
      </c>
      <c r="B150" t="s">
        <v>113</v>
      </c>
      <c r="C150">
        <v>280</v>
      </c>
      <c r="D150" t="s">
        <v>117</v>
      </c>
      <c r="E150" s="34">
        <v>2009</v>
      </c>
      <c r="F150">
        <v>1</v>
      </c>
      <c r="G150">
        <v>0.66139240506329111</v>
      </c>
      <c r="H150">
        <v>0.64873417721518989</v>
      </c>
      <c r="I150">
        <v>0.63291139240506333</v>
      </c>
      <c r="J150">
        <v>0.57594936708860756</v>
      </c>
      <c r="K150">
        <v>0.58544303797468356</v>
      </c>
      <c r="L150">
        <v>0.46835443037974683</v>
      </c>
      <c r="M150">
        <v>0.39082278481012656</v>
      </c>
      <c r="N150">
        <v>0.41139240506329117</v>
      </c>
      <c r="O150" s="24">
        <v>0.37816455696202533</v>
      </c>
    </row>
    <row r="151" spans="1:43">
      <c r="A151">
        <v>554</v>
      </c>
      <c r="B151" t="s">
        <v>113</v>
      </c>
      <c r="C151">
        <v>200</v>
      </c>
      <c r="D151" t="s">
        <v>117</v>
      </c>
      <c r="E151">
        <v>1988</v>
      </c>
      <c r="F151">
        <v>1</v>
      </c>
      <c r="G151">
        <v>1.003601441</v>
      </c>
      <c r="H151">
        <v>0.87635054000000001</v>
      </c>
      <c r="I151">
        <v>0.85594237699999998</v>
      </c>
      <c r="J151">
        <v>0.77070828300000005</v>
      </c>
      <c r="K151">
        <v>0.64705882400000003</v>
      </c>
      <c r="L151">
        <v>0.69747899199999996</v>
      </c>
      <c r="M151">
        <v>0.64705882400000003</v>
      </c>
      <c r="N151">
        <v>0.54861944799999995</v>
      </c>
      <c r="O151">
        <v>0.481392557</v>
      </c>
      <c r="P151">
        <v>0.52340936400000004</v>
      </c>
      <c r="Q151">
        <v>0.48859543799999999</v>
      </c>
      <c r="R151">
        <v>0.244897959</v>
      </c>
      <c r="S151">
        <v>0.21488595399999999</v>
      </c>
      <c r="T151">
        <v>0.29531812699999999</v>
      </c>
      <c r="U151">
        <v>0.20288115200000001</v>
      </c>
      <c r="V151">
        <v>0.25090035999999999</v>
      </c>
      <c r="W151">
        <v>0.25570228099999998</v>
      </c>
      <c r="X151" s="24">
        <v>0.13925570200000001</v>
      </c>
    </row>
    <row r="152" spans="1:43">
      <c r="A152" s="29">
        <v>555</v>
      </c>
      <c r="B152" t="s">
        <v>113</v>
      </c>
      <c r="C152">
        <v>200</v>
      </c>
      <c r="D152" t="s">
        <v>117</v>
      </c>
      <c r="E152">
        <v>1988</v>
      </c>
    </row>
    <row r="153" spans="1:43">
      <c r="A153" s="35">
        <v>558</v>
      </c>
      <c r="B153" t="s">
        <v>113</v>
      </c>
      <c r="C153">
        <v>200</v>
      </c>
      <c r="D153" t="s">
        <v>117</v>
      </c>
      <c r="E153" s="34">
        <v>2007</v>
      </c>
      <c r="F153">
        <v>1</v>
      </c>
      <c r="G153">
        <v>0.54882154882154888</v>
      </c>
      <c r="H153">
        <v>0.42255892255892258</v>
      </c>
      <c r="I153">
        <v>0.41582491582491582</v>
      </c>
      <c r="J153">
        <v>0.3164983164983165</v>
      </c>
      <c r="K153" s="24">
        <v>0.34006734006734007</v>
      </c>
      <c r="L153">
        <v>0.36363636363636365</v>
      </c>
      <c r="M153">
        <v>0.56734006734006737</v>
      </c>
      <c r="N153">
        <v>0.52861952861952866</v>
      </c>
      <c r="O153">
        <v>0.37205387205387208</v>
      </c>
    </row>
    <row r="154" spans="1:43">
      <c r="A154" s="23">
        <v>559</v>
      </c>
      <c r="B154" t="s">
        <v>113</v>
      </c>
      <c r="C154">
        <v>440</v>
      </c>
      <c r="D154" t="s">
        <v>117</v>
      </c>
      <c r="E154">
        <v>2008</v>
      </c>
      <c r="F154">
        <v>1</v>
      </c>
      <c r="G154">
        <v>0.87968127500000004</v>
      </c>
      <c r="H154">
        <v>0.919521912</v>
      </c>
      <c r="I154">
        <v>0.89043824699999996</v>
      </c>
      <c r="J154">
        <v>0.86215139399999996</v>
      </c>
      <c r="K154">
        <v>0.89163346600000004</v>
      </c>
      <c r="L154">
        <v>0.89362549800000002</v>
      </c>
      <c r="M154">
        <v>0.88366533899999999</v>
      </c>
      <c r="N154">
        <v>0.85776892400000004</v>
      </c>
      <c r="O154">
        <v>0.85139442200000004</v>
      </c>
      <c r="P154">
        <v>0.84183266899999998</v>
      </c>
      <c r="Q154">
        <v>0.86812749</v>
      </c>
      <c r="R154">
        <v>0.88167330700000002</v>
      </c>
      <c r="S154">
        <v>0.88764940199999998</v>
      </c>
      <c r="T154">
        <v>0.86215139399999996</v>
      </c>
    </row>
    <row r="155" spans="1:43">
      <c r="A155" s="31">
        <v>563</v>
      </c>
      <c r="B155" s="31" t="s">
        <v>113</v>
      </c>
      <c r="C155" s="31">
        <v>200</v>
      </c>
      <c r="D155" s="31" t="s">
        <v>117</v>
      </c>
      <c r="E155" s="31">
        <v>1991</v>
      </c>
      <c r="F155" s="31">
        <v>1</v>
      </c>
      <c r="G155" s="31">
        <v>0.953125</v>
      </c>
      <c r="H155" s="31">
        <v>0.70738636399999999</v>
      </c>
      <c r="I155" s="31">
        <v>0.79119318199999999</v>
      </c>
      <c r="J155" s="31">
        <v>0.65482954500000001</v>
      </c>
      <c r="K155" s="31">
        <v>0.74289772700000001</v>
      </c>
      <c r="L155" s="31">
        <v>1.056818182</v>
      </c>
      <c r="M155" s="31">
        <v>1.0142045449999999</v>
      </c>
      <c r="N155" s="31">
        <v>1.009943182</v>
      </c>
      <c r="O155" s="31">
        <v>1.2642045449999999</v>
      </c>
      <c r="P155" s="31">
        <v>1.3096590910000001</v>
      </c>
      <c r="Q155" s="31">
        <v>1.3153409089999999</v>
      </c>
      <c r="R155" s="31">
        <v>0.90198863600000001</v>
      </c>
      <c r="S155" s="31">
        <v>1.261363636</v>
      </c>
      <c r="T155" s="31">
        <v>1.363636364</v>
      </c>
      <c r="U155" s="31">
        <v>1.119318182</v>
      </c>
      <c r="V155" s="31">
        <v>0.99431818199999999</v>
      </c>
      <c r="W155" s="31">
        <v>1.042613636</v>
      </c>
      <c r="X155" s="31">
        <v>0.43892045499999999</v>
      </c>
      <c r="Y155" s="31">
        <v>0.98579545499999999</v>
      </c>
      <c r="Z155" s="31">
        <v>0.85369318199999999</v>
      </c>
      <c r="AA155" s="31">
        <v>1.328125</v>
      </c>
      <c r="AB155" s="31">
        <v>1.109375</v>
      </c>
      <c r="AC155" s="31">
        <v>0.75852272700000001</v>
      </c>
      <c r="AD155" s="31">
        <v>0.57102272700000001</v>
      </c>
      <c r="AE155" s="31">
        <v>0.862215909</v>
      </c>
      <c r="AF155" s="31">
        <v>0.80539772700000001</v>
      </c>
      <c r="AG155" s="31">
        <v>0.86789772700000001</v>
      </c>
      <c r="AH155" s="31">
        <v>0.55255681800000001</v>
      </c>
      <c r="AI155" s="31">
        <v>0.465909091</v>
      </c>
      <c r="AJ155" s="31">
        <v>0.74289772700000001</v>
      </c>
      <c r="AK155" s="31">
        <v>0.23011363600000001</v>
      </c>
      <c r="AL155" s="31"/>
      <c r="AM155" s="31"/>
      <c r="AN155" s="31"/>
      <c r="AO155" s="31"/>
      <c r="AP155" s="31"/>
      <c r="AQ155" s="31"/>
    </row>
    <row r="156" spans="1:43">
      <c r="A156" s="23">
        <v>567</v>
      </c>
      <c r="B156" t="s">
        <v>113</v>
      </c>
      <c r="C156">
        <v>420</v>
      </c>
      <c r="D156" t="s">
        <v>117</v>
      </c>
      <c r="E156">
        <v>1991</v>
      </c>
      <c r="F156">
        <v>1</v>
      </c>
      <c r="G156">
        <v>0.95379886700000005</v>
      </c>
      <c r="H156">
        <v>0.88425703600000005</v>
      </c>
      <c r="I156">
        <v>0.89635962000000002</v>
      </c>
      <c r="J156">
        <v>0.899241187</v>
      </c>
      <c r="K156">
        <v>0.84314667200000004</v>
      </c>
      <c r="L156">
        <v>0.67880126799999996</v>
      </c>
      <c r="M156">
        <v>0.83334934199999999</v>
      </c>
      <c r="N156">
        <v>0.56584381900000003</v>
      </c>
      <c r="O156">
        <v>0.68802228399999998</v>
      </c>
      <c r="P156">
        <v>0.638267217</v>
      </c>
      <c r="Q156">
        <v>0.643838248</v>
      </c>
      <c r="R156">
        <v>0.50542695199999998</v>
      </c>
      <c r="S156">
        <v>0.50417827299999995</v>
      </c>
      <c r="T156">
        <v>0.35231966199999998</v>
      </c>
      <c r="U156">
        <v>0.56824512500000002</v>
      </c>
      <c r="V156">
        <v>0.58351743300000003</v>
      </c>
      <c r="W156">
        <v>0.44664297400000003</v>
      </c>
      <c r="X156">
        <v>0.34886178099999998</v>
      </c>
      <c r="Y156">
        <v>0.36922485799999999</v>
      </c>
      <c r="Z156">
        <v>0.362501201</v>
      </c>
      <c r="AA156">
        <v>0.33387762900000001</v>
      </c>
      <c r="AB156">
        <v>0.32043031399999999</v>
      </c>
      <c r="AC156">
        <v>0.245797714</v>
      </c>
      <c r="AD156">
        <v>0.28143309999999999</v>
      </c>
      <c r="AE156">
        <v>0.21755835200000001</v>
      </c>
      <c r="AF156">
        <v>0.28537124200000002</v>
      </c>
      <c r="AG156">
        <v>0.23379118199999999</v>
      </c>
      <c r="AH156">
        <v>0.29776198300000001</v>
      </c>
      <c r="AI156">
        <v>0.26971472499999999</v>
      </c>
      <c r="AJ156">
        <v>0.242339833</v>
      </c>
      <c r="AK156">
        <v>0.19642685600000001</v>
      </c>
    </row>
    <row r="157" spans="1:43">
      <c r="A157" s="23">
        <v>569</v>
      </c>
      <c r="B157" t="s">
        <v>113</v>
      </c>
      <c r="C157">
        <v>420</v>
      </c>
      <c r="D157" t="s">
        <v>117</v>
      </c>
      <c r="E157">
        <v>2001</v>
      </c>
      <c r="F157">
        <v>1</v>
      </c>
      <c r="G157">
        <v>0.99227696399999998</v>
      </c>
      <c r="H157">
        <v>0.91211717699999995</v>
      </c>
      <c r="I157">
        <v>0.95739014600000005</v>
      </c>
      <c r="J157">
        <v>0.91717709700000005</v>
      </c>
      <c r="K157">
        <v>0.91717709700000005</v>
      </c>
      <c r="L157">
        <v>0.92410119800000001</v>
      </c>
      <c r="M157">
        <v>0.89241011999999997</v>
      </c>
      <c r="N157">
        <v>0.90386151800000003</v>
      </c>
      <c r="O157">
        <v>0.91185086599999998</v>
      </c>
      <c r="P157">
        <v>0.91051930800000003</v>
      </c>
      <c r="Q157">
        <v>0.911318242</v>
      </c>
      <c r="R157">
        <v>0.90892143800000003</v>
      </c>
      <c r="S157" s="24">
        <v>0.91078561899999999</v>
      </c>
      <c r="T157">
        <v>0.93688415400000002</v>
      </c>
      <c r="U157">
        <v>0.94194407499999999</v>
      </c>
      <c r="V157">
        <v>0.93422103899999998</v>
      </c>
      <c r="W157">
        <v>0.94327563199999998</v>
      </c>
      <c r="X157">
        <v>0.95179760300000005</v>
      </c>
      <c r="Y157">
        <v>0.94567243700000003</v>
      </c>
      <c r="Z157">
        <v>0.93928095899999997</v>
      </c>
      <c r="AA157">
        <v>0.92490013299999996</v>
      </c>
    </row>
    <row r="158" spans="1:43">
      <c r="A158">
        <v>571</v>
      </c>
      <c r="B158" t="s">
        <v>113</v>
      </c>
      <c r="C158">
        <v>420</v>
      </c>
      <c r="D158" t="s">
        <v>117</v>
      </c>
      <c r="E158">
        <v>2011</v>
      </c>
      <c r="F158">
        <v>1</v>
      </c>
      <c r="G158">
        <v>0.98925693800000003</v>
      </c>
      <c r="H158">
        <v>0.94330050700000001</v>
      </c>
      <c r="I158">
        <v>0.93166218999999995</v>
      </c>
      <c r="J158">
        <v>0.88898836199999998</v>
      </c>
      <c r="K158">
        <v>0.89018203500000004</v>
      </c>
      <c r="L158">
        <v>0.88540734099999996</v>
      </c>
      <c r="M158">
        <v>0.86034019699999997</v>
      </c>
      <c r="N158">
        <v>0.85884810499999997</v>
      </c>
      <c r="O158">
        <v>0.84303193099999996</v>
      </c>
      <c r="P158">
        <v>0.84631453300000004</v>
      </c>
      <c r="Q158">
        <v>0.83019993999999997</v>
      </c>
    </row>
    <row r="159" spans="1:43">
      <c r="A159" s="35">
        <v>574</v>
      </c>
      <c r="B159" t="s">
        <v>113</v>
      </c>
      <c r="C159">
        <v>200</v>
      </c>
      <c r="D159" t="s">
        <v>117</v>
      </c>
      <c r="E159">
        <v>1987</v>
      </c>
      <c r="F159">
        <v>1</v>
      </c>
      <c r="G159">
        <v>1.0047058820000001</v>
      </c>
      <c r="H159">
        <v>0.84235294100000002</v>
      </c>
      <c r="I159">
        <v>0.70352941199999997</v>
      </c>
      <c r="J159">
        <v>0.74117647099999995</v>
      </c>
      <c r="K159">
        <v>0.75529411800000001</v>
      </c>
      <c r="L159">
        <v>0.67294117600000003</v>
      </c>
      <c r="M159">
        <v>0.90117647099999998</v>
      </c>
      <c r="N159">
        <v>0.76705882400000003</v>
      </c>
      <c r="O159">
        <v>0.52705882400000004</v>
      </c>
      <c r="P159">
        <v>1.2282352940000001</v>
      </c>
      <c r="Q159">
        <v>0.22823529400000001</v>
      </c>
      <c r="R159">
        <v>0.12</v>
      </c>
      <c r="S159">
        <v>1.0282352939999999</v>
      </c>
      <c r="T159">
        <v>1.0658823529999999</v>
      </c>
      <c r="U159">
        <v>1.207058824</v>
      </c>
      <c r="V159">
        <v>1.0470588240000001</v>
      </c>
      <c r="W159">
        <v>0.86117647100000005</v>
      </c>
      <c r="X159">
        <v>1.574117647</v>
      </c>
      <c r="Y159">
        <v>1.3294117649999999</v>
      </c>
      <c r="Z159">
        <v>0.89647058800000001</v>
      </c>
      <c r="AA159">
        <v>0.28000000000000003</v>
      </c>
      <c r="AB159">
        <v>0.81176470599999995</v>
      </c>
      <c r="AC159">
        <v>0.63058823500000005</v>
      </c>
      <c r="AD159">
        <v>0.61176470599999999</v>
      </c>
      <c r="AE159">
        <v>0.80705882399999995</v>
      </c>
      <c r="AF159">
        <v>1.0188235290000001</v>
      </c>
      <c r="AG159">
        <v>0.677647059</v>
      </c>
      <c r="AH159">
        <v>1.1200000000000001</v>
      </c>
      <c r="AI159">
        <v>0.934117647</v>
      </c>
      <c r="AJ159">
        <v>1.3223529409999999</v>
      </c>
      <c r="AK159">
        <v>1.242352941</v>
      </c>
      <c r="AL159">
        <v>0.74117647099999995</v>
      </c>
      <c r="AM159">
        <v>0.59529411799999998</v>
      </c>
      <c r="AN159">
        <v>0.96470588199999996</v>
      </c>
      <c r="AO159">
        <v>1.1176470590000001</v>
      </c>
    </row>
    <row r="160" spans="1:43">
      <c r="A160">
        <v>576</v>
      </c>
      <c r="B160" t="s">
        <v>113</v>
      </c>
      <c r="C160">
        <v>240</v>
      </c>
      <c r="D160" t="s">
        <v>117</v>
      </c>
      <c r="E160">
        <v>2004</v>
      </c>
      <c r="F160">
        <v>1</v>
      </c>
      <c r="G160">
        <v>0.94543429800000001</v>
      </c>
      <c r="H160">
        <v>0.90089086900000004</v>
      </c>
      <c r="I160">
        <v>0.92873051200000001</v>
      </c>
      <c r="J160">
        <v>0.93095768400000001</v>
      </c>
      <c r="K160">
        <v>0.94320712699999998</v>
      </c>
      <c r="L160">
        <v>0.88084632500000004</v>
      </c>
      <c r="M160">
        <v>0.86859688199999996</v>
      </c>
      <c r="N160">
        <v>0.89755011100000004</v>
      </c>
      <c r="O160">
        <v>0.87305122499999999</v>
      </c>
      <c r="P160">
        <v>0.86859688199999996</v>
      </c>
      <c r="Q160">
        <v>0.84187082400000002</v>
      </c>
      <c r="R160">
        <v>0.87750556800000001</v>
      </c>
      <c r="S160">
        <v>0.84298441000000002</v>
      </c>
      <c r="T160">
        <v>0.78062360799999997</v>
      </c>
      <c r="U160">
        <v>0.83296213799999996</v>
      </c>
      <c r="V160">
        <v>0.78062360799999997</v>
      </c>
      <c r="W160">
        <v>0.78841870800000002</v>
      </c>
      <c r="X160">
        <v>0.72717149199999997</v>
      </c>
    </row>
    <row r="161" spans="1:43">
      <c r="A161">
        <v>577</v>
      </c>
      <c r="B161" t="s">
        <v>113</v>
      </c>
      <c r="C161">
        <v>240</v>
      </c>
      <c r="D161" t="s">
        <v>117</v>
      </c>
      <c r="E161">
        <v>1995</v>
      </c>
      <c r="F161">
        <v>1</v>
      </c>
      <c r="G161">
        <v>0.99881235199999996</v>
      </c>
      <c r="H161">
        <v>0.99287410899999995</v>
      </c>
      <c r="I161">
        <v>0.98218527300000003</v>
      </c>
      <c r="J161">
        <v>1.0011876479999999</v>
      </c>
      <c r="K161">
        <v>0.99643705500000002</v>
      </c>
      <c r="L161">
        <v>0.99643705500000002</v>
      </c>
      <c r="M161">
        <v>0.98931116399999997</v>
      </c>
      <c r="N161">
        <v>0.99406175799999996</v>
      </c>
      <c r="O161">
        <v>0.97387173400000004</v>
      </c>
      <c r="P161">
        <v>0.95486935900000003</v>
      </c>
      <c r="Q161">
        <v>0.92517814700000001</v>
      </c>
      <c r="R161">
        <v>0.94774346799999998</v>
      </c>
      <c r="S161">
        <v>0.89192399</v>
      </c>
      <c r="T161">
        <v>0.92517814700000001</v>
      </c>
      <c r="U161">
        <v>0.88123515399999997</v>
      </c>
      <c r="V161">
        <v>0.85748218499999995</v>
      </c>
      <c r="W161">
        <v>0.88123515399999997</v>
      </c>
      <c r="X161">
        <v>0.87054631800000004</v>
      </c>
      <c r="Y161">
        <v>0.88954869400000003</v>
      </c>
      <c r="Z161">
        <v>0.87173396700000005</v>
      </c>
      <c r="AA161">
        <v>0.88242280299999998</v>
      </c>
      <c r="AB161">
        <v>0.86698337299999995</v>
      </c>
      <c r="AC161">
        <v>0.87292161499999998</v>
      </c>
      <c r="AD161">
        <v>0.87767220899999998</v>
      </c>
      <c r="AE161">
        <v>0.85985748200000001</v>
      </c>
      <c r="AF161">
        <v>0.86342042799999996</v>
      </c>
      <c r="AG161">
        <v>0.84085510699999999</v>
      </c>
    </row>
    <row r="162" spans="1:43">
      <c r="A162">
        <v>579</v>
      </c>
      <c r="B162" t="s">
        <v>113</v>
      </c>
      <c r="C162">
        <v>900</v>
      </c>
      <c r="D162" t="s">
        <v>117</v>
      </c>
      <c r="E162">
        <v>1997</v>
      </c>
      <c r="F162">
        <v>1</v>
      </c>
      <c r="G162">
        <v>1.0940562650000001</v>
      </c>
      <c r="H162">
        <v>0.89423958299999995</v>
      </c>
      <c r="I162">
        <v>1.1058309239999999</v>
      </c>
      <c r="J162">
        <v>1.0316576180000001</v>
      </c>
      <c r="K162">
        <v>0.96206726399999998</v>
      </c>
      <c r="L162">
        <v>0.82246351299999998</v>
      </c>
      <c r="M162">
        <v>0.92575618699999995</v>
      </c>
      <c r="N162">
        <v>0.83882112399999997</v>
      </c>
      <c r="O162">
        <v>0.90961009699999995</v>
      </c>
      <c r="P162">
        <v>0.94761333999999997</v>
      </c>
      <c r="Q162">
        <v>0.86307551299999996</v>
      </c>
      <c r="R162">
        <v>0.82591835300000005</v>
      </c>
      <c r="S162">
        <v>0.77980681100000004</v>
      </c>
      <c r="T162">
        <v>0.87759994399999997</v>
      </c>
      <c r="U162">
        <v>0.74659803999999996</v>
      </c>
      <c r="V162">
        <v>0.852781499</v>
      </c>
      <c r="W162">
        <v>0.79334414399999997</v>
      </c>
      <c r="X162">
        <v>0.84721144999999998</v>
      </c>
      <c r="Y162">
        <v>0.74159204700000003</v>
      </c>
      <c r="Z162">
        <v>0.88331100600000001</v>
      </c>
      <c r="AA162">
        <v>0.74793767200000005</v>
      </c>
      <c r="AB162">
        <v>0.87005569999999999</v>
      </c>
      <c r="AC162">
        <v>0.83896213799999997</v>
      </c>
      <c r="AD162">
        <v>0.77120496400000005</v>
      </c>
      <c r="AE162">
        <v>0.83938517899999998</v>
      </c>
    </row>
    <row r="163" spans="1:43">
      <c r="A163">
        <v>583</v>
      </c>
      <c r="B163" t="s">
        <v>113</v>
      </c>
      <c r="C163">
        <v>440</v>
      </c>
      <c r="D163" t="s">
        <v>117</v>
      </c>
      <c r="E163">
        <v>1986</v>
      </c>
      <c r="F163">
        <v>1</v>
      </c>
      <c r="G163">
        <v>0.821987315</v>
      </c>
      <c r="H163">
        <v>0.59556025400000001</v>
      </c>
      <c r="I163">
        <v>0.55412262199999995</v>
      </c>
      <c r="J163">
        <v>0.62177589899999997</v>
      </c>
      <c r="K163">
        <v>0.558773784</v>
      </c>
      <c r="L163">
        <v>0.62811839300000005</v>
      </c>
      <c r="M163">
        <v>0.63319238899999997</v>
      </c>
      <c r="N163">
        <v>0.61860465099999995</v>
      </c>
      <c r="O163">
        <v>0.46765327699999998</v>
      </c>
      <c r="P163">
        <v>0.529386892</v>
      </c>
      <c r="Q163">
        <v>0.49746300199999999</v>
      </c>
      <c r="R163">
        <v>0.40317124700000001</v>
      </c>
      <c r="S163">
        <v>0.41501057099999999</v>
      </c>
      <c r="T163">
        <v>0.39852008500000002</v>
      </c>
      <c r="U163">
        <v>0.39217759000000002</v>
      </c>
      <c r="V163">
        <v>0.391331924</v>
      </c>
      <c r="W163">
        <v>0.402748414</v>
      </c>
      <c r="X163">
        <v>0.44355179700000003</v>
      </c>
      <c r="Y163">
        <v>0.42748414400000001</v>
      </c>
      <c r="Z163">
        <v>0.42050739999999998</v>
      </c>
      <c r="AA163">
        <v>0.434883721</v>
      </c>
      <c r="AB163">
        <v>0.41754756900000001</v>
      </c>
      <c r="AC163">
        <v>0.43805496799999999</v>
      </c>
      <c r="AD163" s="24">
        <v>0.41522198700000001</v>
      </c>
      <c r="AE163">
        <v>0.45835095100000001</v>
      </c>
      <c r="AF163">
        <v>0.522198732</v>
      </c>
      <c r="AG163">
        <v>0.48816067699999999</v>
      </c>
      <c r="AH163">
        <v>0.57653277000000003</v>
      </c>
      <c r="AI163">
        <v>0.60909090899999996</v>
      </c>
      <c r="AJ163">
        <v>0.57632135299999998</v>
      </c>
      <c r="AK163">
        <v>0.60211416500000003</v>
      </c>
      <c r="AL163">
        <v>0.54630021100000004</v>
      </c>
      <c r="AM163">
        <v>0.61395348800000005</v>
      </c>
      <c r="AN163">
        <v>0.62748414399999997</v>
      </c>
      <c r="AO163">
        <v>0.59006342499999997</v>
      </c>
      <c r="AP163">
        <v>0.60739957700000002</v>
      </c>
    </row>
    <row r="164" spans="1:43">
      <c r="A164">
        <v>588</v>
      </c>
      <c r="B164" t="s">
        <v>113</v>
      </c>
      <c r="C164">
        <v>440</v>
      </c>
      <c r="D164" t="s">
        <v>117</v>
      </c>
      <c r="E164">
        <v>2011</v>
      </c>
      <c r="F164">
        <v>1</v>
      </c>
      <c r="G164">
        <v>0.92815758999999998</v>
      </c>
      <c r="H164">
        <v>0.80996523799999998</v>
      </c>
      <c r="I164">
        <v>0.77636152999999997</v>
      </c>
      <c r="J164">
        <v>0.61587485500000005</v>
      </c>
      <c r="K164">
        <v>0.64600231699999999</v>
      </c>
      <c r="L164">
        <v>0.59849362699999997</v>
      </c>
      <c r="M164">
        <v>0.52665121699999995</v>
      </c>
      <c r="N164">
        <v>0.56662804200000005</v>
      </c>
      <c r="O164">
        <v>0.49362688300000002</v>
      </c>
      <c r="P164">
        <v>0.48899188900000001</v>
      </c>
      <c r="Q164">
        <v>0.44148319800000002</v>
      </c>
    </row>
    <row r="165" spans="1:43">
      <c r="A165">
        <v>589</v>
      </c>
      <c r="B165" t="s">
        <v>113</v>
      </c>
      <c r="C165">
        <v>440</v>
      </c>
      <c r="D165" t="s">
        <v>117</v>
      </c>
      <c r="E165">
        <v>1997</v>
      </c>
      <c r="F165">
        <v>1</v>
      </c>
      <c r="G165">
        <v>0.86645541000000004</v>
      </c>
      <c r="H165">
        <v>0.82118605700000002</v>
      </c>
      <c r="I165">
        <v>0.86962426400000004</v>
      </c>
      <c r="J165">
        <v>0.79764599400000002</v>
      </c>
      <c r="K165">
        <v>0.81032141199999996</v>
      </c>
      <c r="L165">
        <v>0.83431416899999999</v>
      </c>
      <c r="M165">
        <v>0.82752376599999999</v>
      </c>
      <c r="N165">
        <v>0.70755998200000003</v>
      </c>
      <c r="O165">
        <v>0.70937075599999999</v>
      </c>
      <c r="P165">
        <v>0.60434585799999996</v>
      </c>
      <c r="Q165">
        <v>0.71570846499999996</v>
      </c>
      <c r="R165">
        <v>0.64689904899999995</v>
      </c>
      <c r="S165">
        <v>0.59981892299999995</v>
      </c>
      <c r="T165">
        <v>0.54956994100000001</v>
      </c>
      <c r="U165">
        <v>0.568583069</v>
      </c>
      <c r="V165">
        <v>0.54730647399999999</v>
      </c>
      <c r="W165">
        <v>0.50384789500000005</v>
      </c>
      <c r="X165">
        <v>0.50520597599999995</v>
      </c>
      <c r="Y165">
        <v>0.51425984599999996</v>
      </c>
      <c r="Z165">
        <v>0.51244907200000001</v>
      </c>
      <c r="AA165">
        <v>0.48619284699999998</v>
      </c>
      <c r="AB165">
        <v>0.54549569899999995</v>
      </c>
      <c r="AC165">
        <v>0.50158442700000005</v>
      </c>
      <c r="AD165">
        <v>0.46129470299999997</v>
      </c>
      <c r="AE165">
        <v>0.44182888199999998</v>
      </c>
    </row>
    <row r="166" spans="1:43">
      <c r="A166" s="23">
        <v>606</v>
      </c>
      <c r="B166" t="s">
        <v>113</v>
      </c>
      <c r="C166">
        <v>200</v>
      </c>
      <c r="D166" t="s">
        <v>117</v>
      </c>
      <c r="E166">
        <v>1994</v>
      </c>
      <c r="F166">
        <v>1</v>
      </c>
      <c r="G166">
        <v>0.69150521600000003</v>
      </c>
      <c r="H166">
        <v>0.76974664699999995</v>
      </c>
      <c r="I166">
        <v>0.58718330799999996</v>
      </c>
      <c r="J166">
        <v>0.74664679599999995</v>
      </c>
      <c r="K166">
        <v>0.63710879300000001</v>
      </c>
      <c r="L166">
        <v>0.704172876</v>
      </c>
      <c r="M166">
        <v>0.52235469400000001</v>
      </c>
      <c r="N166">
        <v>0.567064083</v>
      </c>
      <c r="O166">
        <v>0.60655737700000001</v>
      </c>
      <c r="P166">
        <v>0.56408345800000004</v>
      </c>
      <c r="Q166">
        <v>0.52682563299999996</v>
      </c>
      <c r="R166">
        <v>0.54545454500000001</v>
      </c>
      <c r="S166">
        <v>0.53427719799999995</v>
      </c>
      <c r="T166">
        <v>0.54992548399999996</v>
      </c>
      <c r="U166">
        <v>0.53874813700000002</v>
      </c>
      <c r="V166">
        <v>0.50745156499999999</v>
      </c>
      <c r="W166">
        <v>0.52011922499999996</v>
      </c>
      <c r="X166">
        <v>0.560357675</v>
      </c>
      <c r="Y166">
        <v>0.50745156499999999</v>
      </c>
      <c r="Z166">
        <v>0.506706408</v>
      </c>
      <c r="AA166">
        <v>0.53278688500000004</v>
      </c>
      <c r="AB166">
        <v>0.48658718299999998</v>
      </c>
      <c r="AC166">
        <v>0.50521609499999998</v>
      </c>
      <c r="AD166">
        <v>0.50968703400000004</v>
      </c>
      <c r="AE166">
        <v>0.54023845000000004</v>
      </c>
      <c r="AF166">
        <v>0.53278688500000004</v>
      </c>
      <c r="AG166">
        <v>0.49850968699999998</v>
      </c>
      <c r="AH166">
        <v>0.53427719799999995</v>
      </c>
    </row>
    <row r="167" spans="1:43">
      <c r="A167" s="23">
        <v>607</v>
      </c>
      <c r="B167" t="s">
        <v>113</v>
      </c>
      <c r="C167">
        <v>200</v>
      </c>
      <c r="D167" t="s">
        <v>117</v>
      </c>
      <c r="E167">
        <v>1984</v>
      </c>
      <c r="F167">
        <v>1</v>
      </c>
      <c r="G167">
        <v>0.79106858099999999</v>
      </c>
      <c r="H167">
        <v>0.67623604500000001</v>
      </c>
      <c r="I167">
        <v>0.62679425799999999</v>
      </c>
      <c r="J167">
        <v>0.71291866000000004</v>
      </c>
      <c r="K167">
        <v>0.60446571000000004</v>
      </c>
      <c r="L167">
        <v>0.71132376399999997</v>
      </c>
      <c r="M167">
        <v>0.70972886800000001</v>
      </c>
      <c r="N167">
        <v>0.61562998400000002</v>
      </c>
      <c r="O167">
        <v>0.71929824600000003</v>
      </c>
      <c r="P167">
        <v>0.821371611</v>
      </c>
      <c r="Q167">
        <v>0.67304625200000001</v>
      </c>
      <c r="R167">
        <v>0.70494417899999995</v>
      </c>
      <c r="S167">
        <v>0.69856459299999996</v>
      </c>
      <c r="T167">
        <v>0.75279106900000003</v>
      </c>
      <c r="U167">
        <v>0.73684210500000002</v>
      </c>
      <c r="V167">
        <v>0.77033492800000003</v>
      </c>
      <c r="W167">
        <v>0.79904306199999997</v>
      </c>
      <c r="X167">
        <v>0.78628389200000004</v>
      </c>
      <c r="Y167">
        <v>0.78149920299999998</v>
      </c>
      <c r="Z167">
        <v>0.77990430600000005</v>
      </c>
      <c r="AA167">
        <v>0.81180223299999998</v>
      </c>
      <c r="AB167">
        <v>0.77830940999999998</v>
      </c>
      <c r="AC167">
        <v>0.74322169100000002</v>
      </c>
      <c r="AD167">
        <v>0.77033492800000003</v>
      </c>
      <c r="AE167">
        <v>0.80223285499999997</v>
      </c>
      <c r="AF167">
        <v>0.75438596499999999</v>
      </c>
      <c r="AG167">
        <v>0.75438596499999999</v>
      </c>
      <c r="AH167">
        <v>0.79904306199999997</v>
      </c>
      <c r="AI167">
        <v>0.75279106900000003</v>
      </c>
      <c r="AJ167">
        <v>0.74800637999999997</v>
      </c>
      <c r="AK167">
        <v>0.77511961699999998</v>
      </c>
      <c r="AL167">
        <v>0.73205741599999996</v>
      </c>
      <c r="AM167">
        <v>0.71770334899999999</v>
      </c>
      <c r="AN167">
        <v>0.64752791099999996</v>
      </c>
      <c r="AO167">
        <v>0.693779904</v>
      </c>
      <c r="AP167">
        <v>0.74800637999999997</v>
      </c>
      <c r="AQ167">
        <v>0.77352472100000003</v>
      </c>
    </row>
    <row r="168" spans="1:43">
      <c r="A168" s="23">
        <v>608</v>
      </c>
      <c r="B168" t="s">
        <v>113</v>
      </c>
      <c r="C168">
        <v>200</v>
      </c>
      <c r="D168" t="s">
        <v>117</v>
      </c>
      <c r="E168">
        <v>1990</v>
      </c>
      <c r="F168">
        <v>1</v>
      </c>
      <c r="G168">
        <v>0.89349112399999997</v>
      </c>
      <c r="H168">
        <v>0.61893491099999998</v>
      </c>
      <c r="I168">
        <v>0.91597633099999998</v>
      </c>
      <c r="J168">
        <v>0.77159763299999995</v>
      </c>
      <c r="K168">
        <v>0.45562130200000001</v>
      </c>
      <c r="L168">
        <v>0.68165680500000003</v>
      </c>
      <c r="M168">
        <v>0.40710059199999998</v>
      </c>
      <c r="N168">
        <v>0.59763313600000001</v>
      </c>
      <c r="O168">
        <v>0.56331360900000005</v>
      </c>
      <c r="P168">
        <v>0.54674556200000002</v>
      </c>
      <c r="Q168">
        <v>0.41420118299999997</v>
      </c>
      <c r="R168">
        <v>0.47218934899999998</v>
      </c>
      <c r="S168">
        <v>0.47218934899999998</v>
      </c>
      <c r="T168">
        <v>0.40236686399999999</v>
      </c>
      <c r="U168">
        <v>0.433136095</v>
      </c>
      <c r="V168">
        <v>0.43195266300000001</v>
      </c>
      <c r="W168">
        <v>0.40591716</v>
      </c>
      <c r="X168">
        <v>0.386982249</v>
      </c>
      <c r="Y168">
        <v>0.37514792899999999</v>
      </c>
      <c r="Z168">
        <v>0.35147929</v>
      </c>
      <c r="AA168">
        <v>0.29940828400000002</v>
      </c>
      <c r="AB168">
        <v>0.359763314</v>
      </c>
      <c r="AC168">
        <v>0.33846153800000001</v>
      </c>
      <c r="AD168">
        <v>0.36923076900000001</v>
      </c>
      <c r="AE168">
        <v>0.40473372800000001</v>
      </c>
      <c r="AF168">
        <v>0.35857988200000002</v>
      </c>
      <c r="AG168">
        <v>0.39171597600000002</v>
      </c>
      <c r="AH168">
        <v>0.343195266</v>
      </c>
      <c r="AI168">
        <v>0.28757396400000002</v>
      </c>
      <c r="AJ168">
        <v>0.33372781099999999</v>
      </c>
      <c r="AK168">
        <v>0.26627218899999999</v>
      </c>
      <c r="AL168">
        <v>0.28047337300000003</v>
      </c>
    </row>
    <row r="169" spans="1:43">
      <c r="A169">
        <v>609</v>
      </c>
      <c r="B169" t="s">
        <v>113</v>
      </c>
      <c r="C169">
        <v>200</v>
      </c>
      <c r="D169" t="s">
        <v>117</v>
      </c>
      <c r="E169">
        <v>1986</v>
      </c>
      <c r="F169">
        <v>1</v>
      </c>
      <c r="G169">
        <v>0.61165048499999997</v>
      </c>
      <c r="H169">
        <v>0.53074433700000001</v>
      </c>
      <c r="I169">
        <v>0.52427184500000001</v>
      </c>
      <c r="J169">
        <v>0.68446601900000004</v>
      </c>
      <c r="K169">
        <v>0.76051779900000005</v>
      </c>
      <c r="L169">
        <v>0.66343042100000005</v>
      </c>
      <c r="M169">
        <v>0.83171521000000004</v>
      </c>
      <c r="N169">
        <v>0.794498382</v>
      </c>
      <c r="O169">
        <v>0.53559870600000004</v>
      </c>
      <c r="P169">
        <v>0.71521035600000005</v>
      </c>
      <c r="Q169">
        <v>0.61974110000000004</v>
      </c>
      <c r="R169">
        <v>0.647249191</v>
      </c>
      <c r="S169">
        <v>0.66181229799999997</v>
      </c>
      <c r="T169">
        <v>0.69093851100000003</v>
      </c>
      <c r="U169">
        <v>0.67961165000000001</v>
      </c>
      <c r="V169">
        <v>0.66504854400000002</v>
      </c>
      <c r="W169">
        <v>0.705501618</v>
      </c>
      <c r="X169">
        <v>0.66019417499999999</v>
      </c>
      <c r="Y169">
        <v>0.68122977299999998</v>
      </c>
      <c r="Z169">
        <v>0.63106796099999996</v>
      </c>
      <c r="AA169">
        <v>0.63915857600000003</v>
      </c>
      <c r="AB169">
        <v>0.62135922300000002</v>
      </c>
      <c r="AC169">
        <v>0.64077669900000001</v>
      </c>
      <c r="AD169">
        <v>0.595469256</v>
      </c>
      <c r="AE169">
        <v>0.58090614900000004</v>
      </c>
      <c r="AF169">
        <v>0.35760517800000002</v>
      </c>
      <c r="AG169">
        <v>0.53721682800000004</v>
      </c>
      <c r="AH169">
        <v>0.551779935</v>
      </c>
      <c r="AI169">
        <v>0.61003236199999999</v>
      </c>
      <c r="AJ169">
        <v>0.53721682800000004</v>
      </c>
      <c r="AK169">
        <v>0.56310679600000002</v>
      </c>
      <c r="AL169">
        <v>0.53074433700000001</v>
      </c>
      <c r="AM169">
        <v>0.59870550199999995</v>
      </c>
      <c r="AN169">
        <v>0.58414239499999998</v>
      </c>
      <c r="AO169">
        <v>0.41100323599999999</v>
      </c>
      <c r="AP169">
        <v>0.49190938499999998</v>
      </c>
    </row>
    <row r="170" spans="1:43">
      <c r="A170">
        <v>610</v>
      </c>
      <c r="B170" t="s">
        <v>113</v>
      </c>
      <c r="C170">
        <v>200</v>
      </c>
      <c r="D170" t="s">
        <v>117</v>
      </c>
      <c r="E170">
        <v>1995</v>
      </c>
      <c r="F170">
        <v>1</v>
      </c>
      <c r="G170">
        <v>0.92189892799999995</v>
      </c>
      <c r="H170">
        <v>0.90352220500000002</v>
      </c>
      <c r="I170">
        <v>0.76722817799999998</v>
      </c>
      <c r="J170">
        <v>0.63093414999999997</v>
      </c>
      <c r="K170">
        <v>0.76722817799999998</v>
      </c>
      <c r="L170">
        <v>0.72281776399999997</v>
      </c>
      <c r="M170">
        <v>0.76416539100000003</v>
      </c>
      <c r="N170">
        <v>0.784073507</v>
      </c>
      <c r="O170">
        <v>0.77641653899999996</v>
      </c>
      <c r="P170">
        <v>0.83460949500000003</v>
      </c>
      <c r="Q170">
        <v>0.79785604899999996</v>
      </c>
      <c r="R170">
        <v>0.76416539100000003</v>
      </c>
      <c r="S170">
        <v>0.78254211299999998</v>
      </c>
      <c r="T170">
        <v>0.805513017</v>
      </c>
      <c r="U170">
        <v>0.79173047500000004</v>
      </c>
      <c r="V170">
        <v>0.77947932600000003</v>
      </c>
      <c r="W170">
        <v>0.78713629399999996</v>
      </c>
      <c r="X170">
        <v>0.59877488499999998</v>
      </c>
      <c r="Y170">
        <v>0.37212863699999998</v>
      </c>
      <c r="Z170">
        <v>0.63552833099999995</v>
      </c>
      <c r="AA170">
        <v>0.681470138</v>
      </c>
      <c r="AB170">
        <v>0.63093414999999997</v>
      </c>
      <c r="AC170">
        <v>0.57580398200000005</v>
      </c>
      <c r="AD170">
        <v>0.594180704</v>
      </c>
      <c r="AE170">
        <v>0.56202143999999998</v>
      </c>
      <c r="AF170">
        <v>0.611026034</v>
      </c>
      <c r="AG170">
        <v>0.61715160800000002</v>
      </c>
    </row>
    <row r="171" spans="1:43">
      <c r="A171">
        <v>611</v>
      </c>
      <c r="B171" t="s">
        <v>113</v>
      </c>
      <c r="C171">
        <v>200</v>
      </c>
      <c r="D171" t="s">
        <v>117</v>
      </c>
      <c r="E171">
        <v>1999</v>
      </c>
      <c r="F171">
        <v>1</v>
      </c>
      <c r="G171">
        <v>0.84096385500000004</v>
      </c>
      <c r="H171">
        <v>0.445783133</v>
      </c>
      <c r="I171">
        <v>0.50361445800000004</v>
      </c>
      <c r="J171">
        <v>0.445783133</v>
      </c>
      <c r="K171">
        <v>0.44096385500000002</v>
      </c>
      <c r="L171">
        <v>0.50602409599999998</v>
      </c>
      <c r="M171">
        <v>0.26746987999999999</v>
      </c>
      <c r="N171">
        <v>0.38313253000000003</v>
      </c>
      <c r="O171">
        <v>0.38795180699999998</v>
      </c>
      <c r="P171">
        <v>0.436144578</v>
      </c>
      <c r="Q171">
        <v>0.36385542199999998</v>
      </c>
      <c r="R171">
        <v>0.35421686699999999</v>
      </c>
      <c r="S171">
        <v>0.36385542199999998</v>
      </c>
      <c r="T171">
        <v>0.42409638599999999</v>
      </c>
      <c r="U171">
        <v>0.414457831</v>
      </c>
      <c r="V171">
        <v>0.43373494000000001</v>
      </c>
      <c r="W171">
        <v>0.38795180699999998</v>
      </c>
      <c r="X171">
        <v>0.40963855399999999</v>
      </c>
      <c r="Y171">
        <v>0.53012048199999995</v>
      </c>
      <c r="Z171">
        <v>0.32530120499999998</v>
      </c>
      <c r="AA171">
        <v>0.43855421700000002</v>
      </c>
      <c r="AB171">
        <v>0.37349397600000001</v>
      </c>
      <c r="AC171">
        <v>0.42409638599999999</v>
      </c>
    </row>
    <row r="172" spans="1:43">
      <c r="A172">
        <v>612</v>
      </c>
      <c r="B172" t="s">
        <v>113</v>
      </c>
      <c r="C172">
        <v>200</v>
      </c>
      <c r="D172" t="s">
        <v>117</v>
      </c>
      <c r="E172">
        <v>2013</v>
      </c>
      <c r="F172">
        <v>1</v>
      </c>
      <c r="G172">
        <v>0.73124999999999996</v>
      </c>
      <c r="H172">
        <v>0.75937500000000002</v>
      </c>
      <c r="I172">
        <v>0.65781250000000002</v>
      </c>
      <c r="J172">
        <v>0.64375000000000004</v>
      </c>
      <c r="K172">
        <v>0.56093749999999998</v>
      </c>
      <c r="L172">
        <v>0.56406250000000002</v>
      </c>
      <c r="M172">
        <v>0.52968749999999998</v>
      </c>
      <c r="N172">
        <v>0.56874999999999998</v>
      </c>
      <c r="O172">
        <v>0.56874999999999998</v>
      </c>
    </row>
    <row r="173" spans="1:43">
      <c r="A173">
        <v>613</v>
      </c>
      <c r="B173" t="s">
        <v>113</v>
      </c>
      <c r="C173">
        <v>200</v>
      </c>
      <c r="D173" t="s">
        <v>117</v>
      </c>
      <c r="E173">
        <v>1992</v>
      </c>
      <c r="F173">
        <v>1</v>
      </c>
      <c r="G173">
        <v>0.84897959199999995</v>
      </c>
      <c r="H173">
        <v>0.88979591800000002</v>
      </c>
      <c r="I173">
        <v>0.77142857099999995</v>
      </c>
      <c r="J173">
        <v>0.759183673</v>
      </c>
      <c r="K173">
        <v>0.86938775499999998</v>
      </c>
      <c r="L173">
        <v>0.83265306100000003</v>
      </c>
      <c r="M173">
        <v>0.84489795899999998</v>
      </c>
      <c r="N173">
        <v>0.86530612200000001</v>
      </c>
      <c r="O173">
        <v>0.84489795899999998</v>
      </c>
      <c r="P173">
        <v>0.86122449000000001</v>
      </c>
      <c r="Q173">
        <v>0.80816326500000002</v>
      </c>
      <c r="R173">
        <v>0.80408163300000002</v>
      </c>
      <c r="S173">
        <v>0.87755101999999996</v>
      </c>
      <c r="T173">
        <v>0.85306122399999995</v>
      </c>
      <c r="U173">
        <v>0.36734693899999998</v>
      </c>
      <c r="V173">
        <v>0.35102040800000001</v>
      </c>
      <c r="W173">
        <v>0.36326530600000001</v>
      </c>
      <c r="X173">
        <v>0.21224489799999999</v>
      </c>
      <c r="Y173">
        <v>0.20408163300000001</v>
      </c>
      <c r="Z173">
        <v>0.61224489800000004</v>
      </c>
      <c r="AA173">
        <v>0.10612244899999999</v>
      </c>
      <c r="AB173">
        <v>6.9387754999999995E-2</v>
      </c>
      <c r="AC173">
        <v>5.7142856999999998E-2</v>
      </c>
      <c r="AD173">
        <v>5.7142856999999998E-2</v>
      </c>
      <c r="AE173">
        <v>6.1224489999999999E-2</v>
      </c>
      <c r="AF173">
        <v>5.3061223999999997E-2</v>
      </c>
      <c r="AG173" s="24">
        <v>8.1632652999999999E-2</v>
      </c>
      <c r="AH173">
        <v>0.49387755100000003</v>
      </c>
      <c r="AI173">
        <v>0.46122448999999999</v>
      </c>
      <c r="AJ173">
        <v>0.43673469399999998</v>
      </c>
    </row>
    <row r="174" spans="1:43">
      <c r="A174">
        <v>614</v>
      </c>
      <c r="B174" t="s">
        <v>113</v>
      </c>
      <c r="C174">
        <v>200</v>
      </c>
      <c r="D174" t="s">
        <v>117</v>
      </c>
      <c r="E174">
        <v>1994</v>
      </c>
      <c r="F174">
        <v>1</v>
      </c>
      <c r="G174">
        <v>0.28125</v>
      </c>
      <c r="H174">
        <v>0.42291666700000002</v>
      </c>
      <c r="I174">
        <v>0.42708333300000001</v>
      </c>
      <c r="J174">
        <v>0.5</v>
      </c>
      <c r="K174">
        <v>0.491666667</v>
      </c>
      <c r="L174">
        <v>0.491666667</v>
      </c>
      <c r="M174">
        <v>0.45416666700000002</v>
      </c>
      <c r="N174">
        <v>0.47291666700000001</v>
      </c>
      <c r="O174">
        <v>0.445833333</v>
      </c>
      <c r="P174">
        <v>0.414583333</v>
      </c>
      <c r="Q174">
        <v>0.47083333300000002</v>
      </c>
      <c r="R174">
        <v>0.46666666699999998</v>
      </c>
      <c r="S174">
        <v>0.45833333300000001</v>
      </c>
      <c r="T174">
        <v>0.50624999999999998</v>
      </c>
      <c r="U174">
        <v>0.49583333299999999</v>
      </c>
      <c r="V174">
        <v>0.45833333300000001</v>
      </c>
      <c r="W174">
        <v>0.46666666699999998</v>
      </c>
      <c r="X174">
        <v>0.48125000000000001</v>
      </c>
      <c r="Y174">
        <v>0.477083333</v>
      </c>
      <c r="Z174">
        <v>0.44791666699999999</v>
      </c>
      <c r="AA174">
        <v>0.5</v>
      </c>
      <c r="AB174">
        <v>0.45833333300000001</v>
      </c>
      <c r="AC174">
        <v>0.48958333300000001</v>
      </c>
      <c r="AD174">
        <v>0.48541666700000002</v>
      </c>
      <c r="AE174">
        <v>0.50208333299999997</v>
      </c>
      <c r="AF174">
        <v>0.47916666699999999</v>
      </c>
      <c r="AG174">
        <v>0.491666667</v>
      </c>
      <c r="AH174">
        <v>0.491666667</v>
      </c>
    </row>
    <row r="175" spans="1:43">
      <c r="A175" s="23">
        <v>615</v>
      </c>
      <c r="B175" t="s">
        <v>113</v>
      </c>
      <c r="C175">
        <v>200</v>
      </c>
      <c r="D175" t="s">
        <v>117</v>
      </c>
      <c r="E175">
        <v>2008</v>
      </c>
      <c r="F175">
        <v>1</v>
      </c>
      <c r="G175">
        <v>0.86206896600000005</v>
      </c>
      <c r="H175">
        <v>0.95977011499999998</v>
      </c>
      <c r="I175">
        <v>0.79693486599999996</v>
      </c>
      <c r="J175">
        <v>0.88314176200000005</v>
      </c>
      <c r="K175">
        <v>0.81609195400000001</v>
      </c>
      <c r="L175">
        <v>1.1168582380000001</v>
      </c>
      <c r="M175">
        <v>1.1264367820000001</v>
      </c>
      <c r="N175">
        <v>0.90613026799999996</v>
      </c>
      <c r="O175">
        <v>0.890804598</v>
      </c>
      <c r="P175">
        <v>0.89272030700000005</v>
      </c>
      <c r="Q175">
        <v>0.97509578500000005</v>
      </c>
      <c r="R175">
        <v>0.93678160899999996</v>
      </c>
      <c r="S175">
        <v>0.986590038</v>
      </c>
      <c r="T175">
        <v>0.98084291199999996</v>
      </c>
    </row>
    <row r="176" spans="1:43">
      <c r="A176" s="23">
        <v>616</v>
      </c>
      <c r="B176" t="s">
        <v>113</v>
      </c>
      <c r="C176">
        <v>200</v>
      </c>
      <c r="D176" t="s">
        <v>117</v>
      </c>
      <c r="E176">
        <v>2005</v>
      </c>
      <c r="F176">
        <v>1</v>
      </c>
      <c r="G176">
        <v>0.94513031599999997</v>
      </c>
      <c r="H176">
        <v>0.50617283999999996</v>
      </c>
      <c r="I176">
        <v>0.592592593</v>
      </c>
      <c r="J176">
        <v>0.50617283999999996</v>
      </c>
      <c r="K176">
        <v>0.66941015100000001</v>
      </c>
      <c r="L176">
        <v>0.65294924600000004</v>
      </c>
      <c r="M176">
        <v>0.53086419799999995</v>
      </c>
      <c r="N176">
        <v>0.537722908</v>
      </c>
      <c r="O176">
        <v>0.59807956100000004</v>
      </c>
      <c r="P176">
        <v>0.75445816200000004</v>
      </c>
      <c r="Q176">
        <v>0.56652949200000002</v>
      </c>
      <c r="R176">
        <v>0.49245541799999998</v>
      </c>
      <c r="S176">
        <v>0.46364883400000001</v>
      </c>
      <c r="T176">
        <v>0.69684499300000002</v>
      </c>
      <c r="U176">
        <v>0.67352537700000004</v>
      </c>
      <c r="V176">
        <v>0.64197530899999999</v>
      </c>
      <c r="W176">
        <v>0.60493827200000005</v>
      </c>
    </row>
    <row r="177" spans="1:40">
      <c r="A177" s="23">
        <v>619</v>
      </c>
      <c r="B177" t="s">
        <v>113</v>
      </c>
      <c r="C177">
        <v>200</v>
      </c>
      <c r="D177" t="s">
        <v>117</v>
      </c>
      <c r="E177">
        <v>1988</v>
      </c>
      <c r="F177">
        <v>1</v>
      </c>
      <c r="G177">
        <v>0.79847328200000001</v>
      </c>
      <c r="H177">
        <v>0.65190839700000003</v>
      </c>
      <c r="I177">
        <v>0.81374045800000006</v>
      </c>
      <c r="J177">
        <v>0.52824427500000004</v>
      </c>
      <c r="K177">
        <v>0.52213740500000005</v>
      </c>
      <c r="L177">
        <v>0.58473282400000004</v>
      </c>
      <c r="M177">
        <v>0.461068702</v>
      </c>
      <c r="N177">
        <v>0.61221373999999995</v>
      </c>
      <c r="O177">
        <v>0.70229007600000004</v>
      </c>
      <c r="P177">
        <v>0.67328244299999995</v>
      </c>
      <c r="Q177">
        <v>0.69923664100000005</v>
      </c>
      <c r="R177">
        <v>0.73435114499999998</v>
      </c>
      <c r="S177">
        <v>0.728244275</v>
      </c>
      <c r="T177">
        <v>0.77404580199999995</v>
      </c>
      <c r="U177">
        <v>0.57862595400000005</v>
      </c>
      <c r="V177">
        <v>0.58778626</v>
      </c>
      <c r="W177">
        <v>0.68702290099999996</v>
      </c>
      <c r="X177">
        <v>0.68396946599999997</v>
      </c>
      <c r="Y177">
        <v>0.77099236599999998</v>
      </c>
      <c r="Z177">
        <v>0.73587786300000002</v>
      </c>
      <c r="AA177">
        <v>0.72977099199999995</v>
      </c>
      <c r="AB177">
        <v>0.72213740500000001</v>
      </c>
      <c r="AC177">
        <v>0.728244275</v>
      </c>
      <c r="AD177">
        <v>0.71450381699999999</v>
      </c>
      <c r="AE177">
        <v>0.71297709899999995</v>
      </c>
      <c r="AF177">
        <v>0.69923664100000005</v>
      </c>
      <c r="AG177">
        <v>0.69770992399999998</v>
      </c>
      <c r="AH177">
        <v>0.708396947</v>
      </c>
      <c r="AI177">
        <v>0.71908396900000005</v>
      </c>
      <c r="AJ177">
        <v>0.71603053400000005</v>
      </c>
      <c r="AK177">
        <v>0.72366412199999997</v>
      </c>
      <c r="AL177">
        <v>0.73435114499999998</v>
      </c>
      <c r="AM177">
        <v>0.72519084</v>
      </c>
      <c r="AN177">
        <v>0.73129770999999999</v>
      </c>
    </row>
    <row r="178" spans="1:40">
      <c r="A178">
        <v>621</v>
      </c>
      <c r="B178" t="s">
        <v>113</v>
      </c>
      <c r="C178">
        <v>200</v>
      </c>
      <c r="D178" t="s">
        <v>117</v>
      </c>
      <c r="E178">
        <v>1993</v>
      </c>
      <c r="F178">
        <v>1</v>
      </c>
      <c r="G178">
        <v>0.88813096899999999</v>
      </c>
      <c r="H178">
        <v>0.697135061</v>
      </c>
      <c r="I178">
        <v>0.67939972699999995</v>
      </c>
      <c r="J178">
        <v>0.74761255100000001</v>
      </c>
      <c r="K178">
        <v>0.67530695799999996</v>
      </c>
      <c r="L178">
        <v>0.68622101000000002</v>
      </c>
      <c r="M178">
        <v>0.67667121399999997</v>
      </c>
      <c r="N178">
        <v>0.78854024599999994</v>
      </c>
      <c r="O178">
        <v>0.78990450199999995</v>
      </c>
      <c r="P178">
        <v>0.74215552500000004</v>
      </c>
      <c r="Q178">
        <v>0.66712141899999999</v>
      </c>
      <c r="R178">
        <v>0.63165075000000004</v>
      </c>
      <c r="S178">
        <v>0.55388813100000001</v>
      </c>
      <c r="T178">
        <v>0.68758526600000003</v>
      </c>
      <c r="U178">
        <v>0.56753069599999995</v>
      </c>
      <c r="V178">
        <v>0.582537517</v>
      </c>
      <c r="W178">
        <v>0.57980900400000002</v>
      </c>
      <c r="X178">
        <v>0.529331514</v>
      </c>
      <c r="Y178">
        <v>0.54160982300000005</v>
      </c>
      <c r="Z178">
        <v>0.52660300100000001</v>
      </c>
      <c r="AA178">
        <v>0.52796725799999999</v>
      </c>
      <c r="AB178">
        <v>0.52251023200000002</v>
      </c>
      <c r="AC178">
        <v>0.44474761299999999</v>
      </c>
      <c r="AD178">
        <v>0.44611186899999999</v>
      </c>
      <c r="AE178">
        <v>0.46248294699999998</v>
      </c>
      <c r="AF178">
        <v>0.45566166400000002</v>
      </c>
      <c r="AG178">
        <v>0.42974079100000001</v>
      </c>
      <c r="AH178">
        <v>0.399727149</v>
      </c>
      <c r="AI178">
        <v>0.40518417499999998</v>
      </c>
    </row>
    <row r="179" spans="1:40">
      <c r="A179">
        <v>628</v>
      </c>
      <c r="B179" t="s">
        <v>113</v>
      </c>
      <c r="C179">
        <v>200</v>
      </c>
      <c r="D179" t="s">
        <v>117</v>
      </c>
      <c r="E179">
        <v>1992</v>
      </c>
      <c r="F179">
        <v>1</v>
      </c>
      <c r="G179">
        <v>1.0779861799999999</v>
      </c>
      <c r="H179">
        <v>1.0740375120000001</v>
      </c>
      <c r="I179">
        <v>1.014807502</v>
      </c>
      <c r="J179">
        <v>0.97630799599999996</v>
      </c>
      <c r="K179">
        <v>1.011846002</v>
      </c>
      <c r="L179">
        <v>0.97038499499999997</v>
      </c>
      <c r="M179">
        <v>0.97828232999999998</v>
      </c>
      <c r="N179">
        <v>0.99901283299999999</v>
      </c>
      <c r="O179">
        <v>0.95459032600000004</v>
      </c>
      <c r="P179">
        <v>0.95261599200000002</v>
      </c>
      <c r="Q179">
        <v>0.94768015800000005</v>
      </c>
      <c r="R179">
        <v>0.94471865700000002</v>
      </c>
      <c r="S179">
        <v>0.89141164900000003</v>
      </c>
      <c r="T179">
        <v>0.84106614000000002</v>
      </c>
      <c r="U179">
        <v>0.89733465000000001</v>
      </c>
      <c r="V179">
        <v>0.91707798600000001</v>
      </c>
      <c r="W179">
        <v>0.91312931900000005</v>
      </c>
      <c r="X179">
        <v>0.86673247799999997</v>
      </c>
      <c r="Y179">
        <v>0.81441263600000002</v>
      </c>
      <c r="Z179">
        <v>0.812438302</v>
      </c>
      <c r="AA179">
        <v>0.84106614000000002</v>
      </c>
      <c r="AB179">
        <v>0.84007897300000001</v>
      </c>
      <c r="AC179">
        <v>0.85686080899999995</v>
      </c>
      <c r="AD179">
        <v>0.85291214199999998</v>
      </c>
      <c r="AE179">
        <v>0.86080947699999999</v>
      </c>
      <c r="AF179">
        <v>0.84600197399999999</v>
      </c>
      <c r="AG179">
        <v>0.85784797599999996</v>
      </c>
      <c r="AH179">
        <v>0.853899309</v>
      </c>
      <c r="AI179">
        <v>0.84797630800000001</v>
      </c>
      <c r="AJ179">
        <v>0.80552813400000001</v>
      </c>
    </row>
    <row r="180" spans="1:40">
      <c r="A180">
        <v>631</v>
      </c>
      <c r="B180" t="s">
        <v>113</v>
      </c>
      <c r="C180">
        <v>200</v>
      </c>
      <c r="D180" t="s">
        <v>117</v>
      </c>
      <c r="E180">
        <v>2010</v>
      </c>
      <c r="F180">
        <v>1</v>
      </c>
      <c r="G180">
        <v>1.012352309</v>
      </c>
      <c r="H180">
        <v>0.99731471500000002</v>
      </c>
      <c r="I180">
        <v>1.0069817400000001</v>
      </c>
      <c r="J180">
        <v>1.0037593979999999</v>
      </c>
      <c r="K180">
        <v>1.008592911</v>
      </c>
      <c r="L180">
        <v>0.97636949500000003</v>
      </c>
      <c r="M180">
        <v>0.98281417800000004</v>
      </c>
      <c r="N180">
        <v>0.96509129999999999</v>
      </c>
      <c r="O180">
        <v>0.98764769100000005</v>
      </c>
      <c r="P180">
        <v>0.96670246999999998</v>
      </c>
      <c r="Q180">
        <v>0.98066595099999998</v>
      </c>
      <c r="R180">
        <v>0.94683136400000001</v>
      </c>
    </row>
    <row r="181" spans="1:40">
      <c r="A181">
        <v>633</v>
      </c>
      <c r="B181" t="s">
        <v>113</v>
      </c>
      <c r="C181">
        <v>200</v>
      </c>
      <c r="D181" t="s">
        <v>117</v>
      </c>
      <c r="E181">
        <v>1999</v>
      </c>
      <c r="F181">
        <v>1</v>
      </c>
      <c r="G181">
        <v>0.99896157799999996</v>
      </c>
      <c r="H181">
        <v>0.99065420599999998</v>
      </c>
      <c r="I181">
        <v>1.0166147459999999</v>
      </c>
      <c r="J181">
        <v>0.98753894099999995</v>
      </c>
      <c r="K181">
        <v>0.99688473499999997</v>
      </c>
      <c r="L181">
        <v>0.98338525399999999</v>
      </c>
      <c r="M181">
        <v>0.956386293</v>
      </c>
      <c r="N181">
        <v>0.95223260600000004</v>
      </c>
      <c r="O181">
        <v>0.92107995799999998</v>
      </c>
      <c r="P181">
        <v>0.95015576300000004</v>
      </c>
      <c r="Q181">
        <v>0.81100726899999998</v>
      </c>
      <c r="R181">
        <v>0.85773624100000001</v>
      </c>
      <c r="S181">
        <v>0.91069574200000003</v>
      </c>
      <c r="T181">
        <v>0.86292834900000004</v>
      </c>
      <c r="U181">
        <v>0.89511941799999994</v>
      </c>
      <c r="V181">
        <v>0.91173416399999996</v>
      </c>
      <c r="W181">
        <v>0.882658359</v>
      </c>
      <c r="X181">
        <v>0.86500519200000003</v>
      </c>
      <c r="Y181">
        <v>0.80581516099999995</v>
      </c>
      <c r="Z181">
        <v>0.88058151600000001</v>
      </c>
      <c r="AA181">
        <v>0.80581516099999995</v>
      </c>
      <c r="AB181">
        <v>0.82969885799999998</v>
      </c>
      <c r="AC181">
        <v>0.839044652</v>
      </c>
    </row>
    <row r="182" spans="1:40">
      <c r="A182" s="23">
        <v>635</v>
      </c>
      <c r="B182" t="s">
        <v>113</v>
      </c>
      <c r="C182">
        <v>200</v>
      </c>
      <c r="D182" t="s">
        <v>117</v>
      </c>
      <c r="E182">
        <v>2015</v>
      </c>
      <c r="F182">
        <v>1</v>
      </c>
      <c r="G182">
        <v>0.99750249800000002</v>
      </c>
      <c r="H182">
        <v>0.99950050000000001</v>
      </c>
      <c r="I182">
        <v>0.98551448600000002</v>
      </c>
      <c r="J182">
        <v>0.98801198800000001</v>
      </c>
      <c r="K182">
        <v>0.92407592400000005</v>
      </c>
      <c r="L182">
        <v>0.932567433</v>
      </c>
      <c r="M182">
        <v>0.91208791199999995</v>
      </c>
    </row>
    <row r="183" spans="1:40">
      <c r="A183">
        <v>636</v>
      </c>
      <c r="B183" t="s">
        <v>113</v>
      </c>
      <c r="C183">
        <v>200</v>
      </c>
      <c r="D183" t="s">
        <v>117</v>
      </c>
      <c r="E183">
        <v>1990</v>
      </c>
      <c r="F183">
        <v>1</v>
      </c>
      <c r="G183">
        <v>0.99910714300000003</v>
      </c>
      <c r="H183">
        <v>0.97321428600000004</v>
      </c>
      <c r="I183">
        <v>1.0160714289999999</v>
      </c>
      <c r="J183">
        <v>0.98839285700000001</v>
      </c>
      <c r="K183">
        <v>0.97321428600000004</v>
      </c>
      <c r="L183">
        <v>0.98482142900000003</v>
      </c>
      <c r="M183">
        <v>0.93303571399999996</v>
      </c>
      <c r="N183">
        <v>0.92589285700000001</v>
      </c>
      <c r="O183">
        <v>0.915178571</v>
      </c>
      <c r="P183">
        <v>0.93392857100000004</v>
      </c>
      <c r="Q183">
        <v>0.9</v>
      </c>
      <c r="R183">
        <v>0.959821429</v>
      </c>
      <c r="S183">
        <v>0.89821428599999997</v>
      </c>
      <c r="T183">
        <v>0.928571429</v>
      </c>
      <c r="U183">
        <v>0.89642857099999995</v>
      </c>
      <c r="V183">
        <v>0.89910714300000005</v>
      </c>
      <c r="W183">
        <v>0.89107142900000003</v>
      </c>
      <c r="X183">
        <v>0.89642857099999995</v>
      </c>
      <c r="Y183">
        <v>0.95</v>
      </c>
      <c r="Z183">
        <v>0.858035714</v>
      </c>
      <c r="AA183">
        <v>0.889285714</v>
      </c>
      <c r="AB183">
        <v>0.89285714299999996</v>
      </c>
      <c r="AC183">
        <v>0.90982142899999996</v>
      </c>
      <c r="AD183">
        <v>0.88571428600000002</v>
      </c>
      <c r="AE183">
        <v>0.91071428600000004</v>
      </c>
      <c r="AF183">
        <v>0.883928571</v>
      </c>
      <c r="AG183">
        <v>0.891964286</v>
      </c>
      <c r="AH183">
        <v>0.87142857100000004</v>
      </c>
      <c r="AI183">
        <v>0.88749999999999996</v>
      </c>
      <c r="AJ183">
        <v>0.87767857100000002</v>
      </c>
      <c r="AK183">
        <v>0.87232142899999998</v>
      </c>
      <c r="AL183">
        <v>0.87589285699999997</v>
      </c>
    </row>
    <row r="184" spans="1:40">
      <c r="A184">
        <v>640</v>
      </c>
      <c r="B184" t="s">
        <v>113</v>
      </c>
      <c r="C184">
        <v>200</v>
      </c>
      <c r="D184" t="s">
        <v>117</v>
      </c>
      <c r="E184">
        <v>1999</v>
      </c>
      <c r="F184">
        <v>1</v>
      </c>
      <c r="G184">
        <v>1.00210084</v>
      </c>
      <c r="H184">
        <v>0.99684873900000004</v>
      </c>
      <c r="I184">
        <v>1.0084033610000001</v>
      </c>
      <c r="J184">
        <v>0.97794117599999997</v>
      </c>
      <c r="K184">
        <v>0.99054621799999998</v>
      </c>
      <c r="L184">
        <v>0.97899159700000005</v>
      </c>
      <c r="M184">
        <v>0.97268907599999999</v>
      </c>
      <c r="N184">
        <v>0.98634453799999999</v>
      </c>
      <c r="O184">
        <v>0.96638655500000004</v>
      </c>
      <c r="P184">
        <v>0.96953781500000003</v>
      </c>
      <c r="Q184">
        <v>0.94327731100000001</v>
      </c>
      <c r="R184">
        <v>0.94852941199999996</v>
      </c>
      <c r="S184">
        <v>0.95798319300000001</v>
      </c>
      <c r="T184">
        <v>0.93802521000000005</v>
      </c>
      <c r="U184">
        <v>0.95903361300000001</v>
      </c>
      <c r="V184">
        <v>0.97689075599999997</v>
      </c>
      <c r="W184">
        <v>0.95693277300000001</v>
      </c>
      <c r="X184">
        <v>0.930672269</v>
      </c>
      <c r="Y184">
        <v>0.91701680699999999</v>
      </c>
      <c r="Z184">
        <v>0.94327731100000001</v>
      </c>
      <c r="AA184">
        <v>0.89495798299999996</v>
      </c>
      <c r="AB184">
        <v>0.93382352899999999</v>
      </c>
      <c r="AC184">
        <v>0.89600840299999995</v>
      </c>
    </row>
    <row r="185" spans="1:40">
      <c r="A185">
        <v>708</v>
      </c>
      <c r="B185" t="s">
        <v>113</v>
      </c>
      <c r="C185">
        <v>400</v>
      </c>
      <c r="D185" t="s">
        <v>117</v>
      </c>
      <c r="E185">
        <v>2010</v>
      </c>
      <c r="F185">
        <v>1</v>
      </c>
      <c r="G185">
        <v>0.99510337299999996</v>
      </c>
      <c r="H185">
        <v>0.93797606099999997</v>
      </c>
      <c r="I185">
        <v>0.91022850899999996</v>
      </c>
      <c r="J185">
        <v>0.78509249199999998</v>
      </c>
      <c r="K185">
        <v>0.81828073999999995</v>
      </c>
      <c r="L185">
        <v>0.75571273100000003</v>
      </c>
      <c r="M185">
        <v>0.84276387399999997</v>
      </c>
      <c r="N185">
        <v>0.80576713799999999</v>
      </c>
      <c r="O185">
        <v>0.84004352599999998</v>
      </c>
      <c r="P185">
        <v>0.80903155599999999</v>
      </c>
      <c r="Q185">
        <v>0.84221980399999996</v>
      </c>
      <c r="R185">
        <v>0.73340587599999996</v>
      </c>
    </row>
    <row r="186" spans="1:40">
      <c r="A186">
        <v>709</v>
      </c>
      <c r="B186" t="s">
        <v>113</v>
      </c>
      <c r="C186">
        <v>400</v>
      </c>
      <c r="D186" t="s">
        <v>117</v>
      </c>
      <c r="E186">
        <v>1992</v>
      </c>
      <c r="F186">
        <v>1</v>
      </c>
      <c r="G186">
        <v>0.91528650300000003</v>
      </c>
      <c r="H186">
        <v>1.0135160860000001</v>
      </c>
      <c r="I186">
        <v>0.98343803500000004</v>
      </c>
      <c r="J186">
        <v>0.99143346700000001</v>
      </c>
      <c r="K186">
        <v>0.96744717300000005</v>
      </c>
      <c r="L186">
        <v>0.95278888299999998</v>
      </c>
      <c r="M186">
        <v>0.93603655100000005</v>
      </c>
      <c r="N186">
        <v>0.96668570300000001</v>
      </c>
      <c r="O186">
        <v>0.88749286100000002</v>
      </c>
      <c r="P186">
        <v>0.94707786000000005</v>
      </c>
      <c r="Q186">
        <v>0.96535313199999995</v>
      </c>
      <c r="R186">
        <v>0.94041500099999997</v>
      </c>
      <c r="S186">
        <v>0.96383019199999997</v>
      </c>
      <c r="T186">
        <v>0.93508471299999996</v>
      </c>
      <c r="U186">
        <v>0.96154578300000004</v>
      </c>
      <c r="V186">
        <v>0.84427945900000001</v>
      </c>
      <c r="W186">
        <v>0.93698838799999995</v>
      </c>
      <c r="X186">
        <v>0.92518560800000005</v>
      </c>
      <c r="Y186">
        <v>0.95183704499999999</v>
      </c>
      <c r="Z186">
        <v>0.93184846799999999</v>
      </c>
      <c r="AA186">
        <v>0.93984389899999998</v>
      </c>
      <c r="AB186">
        <v>0.91757091199999996</v>
      </c>
      <c r="AC186">
        <v>0.90881401100000003</v>
      </c>
      <c r="AD186">
        <v>0.91623834000000004</v>
      </c>
      <c r="AE186">
        <v>0.86940795699999995</v>
      </c>
      <c r="AF186">
        <v>0.90291262100000003</v>
      </c>
      <c r="AG186">
        <v>0.91947458599999998</v>
      </c>
      <c r="AH186">
        <v>0.90957548099999996</v>
      </c>
      <c r="AI186">
        <v>0.88787359600000004</v>
      </c>
      <c r="AJ186">
        <v>0.88463734999999999</v>
      </c>
    </row>
    <row r="187" spans="1:40">
      <c r="A187">
        <v>710</v>
      </c>
      <c r="B187" t="s">
        <v>113</v>
      </c>
      <c r="C187">
        <v>460</v>
      </c>
      <c r="D187" t="s">
        <v>117</v>
      </c>
      <c r="E187">
        <v>2010</v>
      </c>
      <c r="F187">
        <v>1</v>
      </c>
      <c r="G187">
        <v>0.96676891600000003</v>
      </c>
      <c r="H187">
        <v>0.974437628</v>
      </c>
      <c r="I187">
        <v>0.96472392600000001</v>
      </c>
      <c r="J187">
        <v>0.93456032700000002</v>
      </c>
      <c r="K187">
        <v>0.90593047000000004</v>
      </c>
      <c r="L187">
        <v>0.91564417200000003</v>
      </c>
      <c r="M187">
        <v>0.87678936600000001</v>
      </c>
      <c r="N187">
        <v>0.86145194300000005</v>
      </c>
      <c r="O187">
        <v>0.895705521</v>
      </c>
      <c r="P187">
        <v>0.90593047000000004</v>
      </c>
      <c r="Q187">
        <v>0.91871165600000004</v>
      </c>
      <c r="R187">
        <v>0.90337423299999997</v>
      </c>
    </row>
    <row r="188" spans="1:40">
      <c r="A188">
        <v>711</v>
      </c>
      <c r="B188" t="s">
        <v>113</v>
      </c>
      <c r="C188">
        <v>460</v>
      </c>
      <c r="D188" t="s">
        <v>117</v>
      </c>
      <c r="E188">
        <v>2005</v>
      </c>
      <c r="F188">
        <v>1</v>
      </c>
      <c r="G188">
        <v>0.97196098900000005</v>
      </c>
      <c r="H188">
        <v>0.90003483100000004</v>
      </c>
      <c r="I188">
        <v>0.86398467400000001</v>
      </c>
      <c r="J188">
        <v>0.80268199200000001</v>
      </c>
      <c r="K188">
        <v>0.72396377599999995</v>
      </c>
      <c r="L188">
        <v>0.84952978099999998</v>
      </c>
      <c r="M188">
        <v>0.774468826</v>
      </c>
      <c r="N188">
        <v>0.81208638099999997</v>
      </c>
      <c r="O188">
        <v>0.75165447600000002</v>
      </c>
      <c r="P188">
        <v>0.80233368199999999</v>
      </c>
      <c r="Q188">
        <v>0.73040752399999997</v>
      </c>
      <c r="R188">
        <v>0.646987113</v>
      </c>
      <c r="S188">
        <v>0.68112156000000001</v>
      </c>
      <c r="T188">
        <v>0.66701497700000001</v>
      </c>
      <c r="U188">
        <v>0.63357715100000001</v>
      </c>
      <c r="V188">
        <v>0.64716126799999996</v>
      </c>
      <c r="W188">
        <v>0.58760013899999997</v>
      </c>
    </row>
    <row r="189" spans="1:40">
      <c r="A189">
        <v>712</v>
      </c>
      <c r="B189" t="s">
        <v>113</v>
      </c>
      <c r="C189">
        <v>500</v>
      </c>
      <c r="D189" t="s">
        <v>117</v>
      </c>
      <c r="E189">
        <v>1995</v>
      </c>
      <c r="F189">
        <v>1</v>
      </c>
      <c r="G189">
        <v>1.0250737459999999</v>
      </c>
      <c r="H189">
        <v>1.022861357</v>
      </c>
      <c r="I189">
        <v>0.976032448</v>
      </c>
      <c r="J189">
        <v>0.98893805300000004</v>
      </c>
      <c r="K189">
        <v>0.99004424800000002</v>
      </c>
      <c r="L189">
        <v>0.91887905599999997</v>
      </c>
      <c r="M189">
        <v>0.95980825999999997</v>
      </c>
      <c r="N189">
        <v>0.924778761</v>
      </c>
      <c r="O189">
        <v>0.91519174000000003</v>
      </c>
      <c r="P189">
        <v>0.90265486699999997</v>
      </c>
      <c r="Q189">
        <v>0.95648967600000001</v>
      </c>
      <c r="R189">
        <v>0.84808259600000002</v>
      </c>
      <c r="S189">
        <v>0.81932153399999996</v>
      </c>
      <c r="T189">
        <v>0.88089970500000003</v>
      </c>
      <c r="U189">
        <v>0.93289085500000002</v>
      </c>
      <c r="V189">
        <v>0.88974926300000001</v>
      </c>
      <c r="W189">
        <v>0.93473451299999999</v>
      </c>
      <c r="X189">
        <v>0.91814159299999998</v>
      </c>
      <c r="Y189">
        <v>0.917035398</v>
      </c>
      <c r="Z189">
        <v>0.91814159299999998</v>
      </c>
      <c r="AA189">
        <v>0.93473451299999999</v>
      </c>
      <c r="AB189">
        <v>0.80199114999999999</v>
      </c>
      <c r="AC189">
        <v>0.89196165199999999</v>
      </c>
      <c r="AD189">
        <v>0.91924778799999995</v>
      </c>
      <c r="AE189">
        <v>0.88827433600000005</v>
      </c>
      <c r="AF189">
        <v>0.90597345100000004</v>
      </c>
      <c r="AG189">
        <v>0.83775811200000005</v>
      </c>
    </row>
    <row r="190" spans="1:40">
      <c r="A190" s="35">
        <v>715</v>
      </c>
      <c r="B190" t="s">
        <v>113</v>
      </c>
      <c r="C190">
        <v>300</v>
      </c>
      <c r="D190" t="s">
        <v>117</v>
      </c>
      <c r="E190">
        <v>2005</v>
      </c>
      <c r="F190">
        <v>1</v>
      </c>
      <c r="G190">
        <v>0.89602446499999999</v>
      </c>
      <c r="H190">
        <v>0.72171253800000001</v>
      </c>
      <c r="I190">
        <v>0.59327217099999996</v>
      </c>
      <c r="J190">
        <v>1.266055046</v>
      </c>
      <c r="K190">
        <v>1.458715596</v>
      </c>
      <c r="L190">
        <v>1.3180428129999999</v>
      </c>
      <c r="M190">
        <v>1.1896024460000001</v>
      </c>
      <c r="N190">
        <v>1.3883792049999999</v>
      </c>
      <c r="O190">
        <v>0.50152905199999998</v>
      </c>
      <c r="P190">
        <v>1.2018348619999999</v>
      </c>
      <c r="Q190">
        <v>1.7186544340000001</v>
      </c>
      <c r="R190">
        <v>0.45259938799999999</v>
      </c>
      <c r="S190">
        <v>0.36697247700000002</v>
      </c>
      <c r="T190">
        <v>1.8990825689999999</v>
      </c>
      <c r="U190">
        <v>1.3761467890000001</v>
      </c>
      <c r="V190">
        <v>0.54434250799999995</v>
      </c>
      <c r="W190">
        <v>0.51070336400000005</v>
      </c>
    </row>
    <row r="191" spans="1:40">
      <c r="A191">
        <v>717</v>
      </c>
      <c r="B191" t="s">
        <v>113</v>
      </c>
      <c r="C191">
        <v>220</v>
      </c>
      <c r="D191" t="s">
        <v>117</v>
      </c>
      <c r="E191">
        <v>1995</v>
      </c>
      <c r="F191">
        <v>1</v>
      </c>
      <c r="G191">
        <v>0.19604612900000001</v>
      </c>
      <c r="H191">
        <v>0.37232290000000001</v>
      </c>
      <c r="I191">
        <v>0.19934102100000001</v>
      </c>
      <c r="J191">
        <v>0.32125205899999998</v>
      </c>
      <c r="K191">
        <v>0.42504118600000002</v>
      </c>
      <c r="L191">
        <v>0.149917628</v>
      </c>
      <c r="M191">
        <v>0.202635914</v>
      </c>
      <c r="N191">
        <v>0.191103789</v>
      </c>
      <c r="O191">
        <v>0.18286655700000001</v>
      </c>
      <c r="P191" s="24">
        <v>0.17957166399999999</v>
      </c>
      <c r="Q191">
        <v>0.23393739699999999</v>
      </c>
      <c r="R191">
        <v>0.41680395399999998</v>
      </c>
      <c r="S191">
        <v>0.44316309700000001</v>
      </c>
      <c r="T191">
        <v>0.32784184500000002</v>
      </c>
      <c r="U191">
        <v>0.28006589799999998</v>
      </c>
      <c r="V191">
        <v>0.283360791</v>
      </c>
      <c r="W191">
        <v>0.28830313000000002</v>
      </c>
      <c r="X191">
        <v>0.31466227299999999</v>
      </c>
      <c r="Y191">
        <v>0.31466227299999999</v>
      </c>
      <c r="Z191">
        <v>0.30313014799999999</v>
      </c>
      <c r="AA191">
        <v>0.30971993399999997</v>
      </c>
      <c r="AB191">
        <v>0.322899506</v>
      </c>
      <c r="AC191">
        <v>0.34596375600000001</v>
      </c>
      <c r="AD191">
        <v>0.42339374000000002</v>
      </c>
      <c r="AE191">
        <v>0.27512355799999999</v>
      </c>
      <c r="AF191">
        <v>0.271828666</v>
      </c>
      <c r="AG191">
        <v>0.31466227299999999</v>
      </c>
    </row>
    <row r="192" spans="1:40">
      <c r="A192" s="23">
        <v>725</v>
      </c>
      <c r="B192" t="s">
        <v>113</v>
      </c>
      <c r="C192">
        <v>220</v>
      </c>
      <c r="D192" t="s">
        <v>117</v>
      </c>
      <c r="E192">
        <v>2002</v>
      </c>
      <c r="F192">
        <v>1</v>
      </c>
      <c r="G192">
        <v>0.93920595500000004</v>
      </c>
      <c r="H192">
        <v>0.95657568199999998</v>
      </c>
      <c r="I192">
        <v>0.99379652600000001</v>
      </c>
      <c r="J192">
        <v>1.1352357319999999</v>
      </c>
      <c r="K192">
        <v>0.76302729499999999</v>
      </c>
      <c r="L192">
        <v>0.87344913199999996</v>
      </c>
      <c r="M192">
        <v>0.98138957800000004</v>
      </c>
      <c r="N192">
        <v>0.40322580600000002</v>
      </c>
      <c r="O192">
        <v>0.63399503700000004</v>
      </c>
      <c r="P192">
        <v>0.60669975200000004</v>
      </c>
      <c r="Q192">
        <v>0.382133995</v>
      </c>
      <c r="R192">
        <v>0.44292804000000002</v>
      </c>
      <c r="S192">
        <v>0.302729529</v>
      </c>
      <c r="T192">
        <v>0.305210918</v>
      </c>
      <c r="U192">
        <v>0.31141439199999998</v>
      </c>
      <c r="V192">
        <v>0.28163771700000001</v>
      </c>
      <c r="W192">
        <v>0.31761786600000003</v>
      </c>
      <c r="X192">
        <v>0.23573200999999999</v>
      </c>
      <c r="Y192">
        <v>0.305210918</v>
      </c>
      <c r="Z192">
        <v>0.297766749</v>
      </c>
    </row>
    <row r="193" spans="1:41">
      <c r="A193" s="35">
        <v>727</v>
      </c>
      <c r="B193" t="s">
        <v>113</v>
      </c>
      <c r="C193">
        <v>220</v>
      </c>
      <c r="D193" t="s">
        <v>117</v>
      </c>
      <c r="E193">
        <v>1992</v>
      </c>
      <c r="F193">
        <v>1</v>
      </c>
      <c r="G193">
        <v>0.93413173699999996</v>
      </c>
      <c r="H193">
        <v>0.63273453099999999</v>
      </c>
      <c r="I193">
        <v>0.19161676599999999</v>
      </c>
      <c r="J193">
        <v>0.19760479</v>
      </c>
      <c r="K193">
        <v>0.20958083799999999</v>
      </c>
      <c r="L193">
        <v>0.31337325300000002</v>
      </c>
      <c r="M193">
        <v>0.54690618800000002</v>
      </c>
      <c r="N193">
        <v>0.60479041899999997</v>
      </c>
      <c r="O193">
        <v>0.52295409199999998</v>
      </c>
      <c r="P193">
        <v>0.72854291400000004</v>
      </c>
      <c r="Q193">
        <v>0.552894212</v>
      </c>
      <c r="R193">
        <v>0.72455089800000005</v>
      </c>
      <c r="S193">
        <v>0.62275449100000002</v>
      </c>
      <c r="T193">
        <v>0.50698602800000003</v>
      </c>
      <c r="U193">
        <v>0.75049900199999997</v>
      </c>
      <c r="V193">
        <v>0.75249500999999996</v>
      </c>
      <c r="W193">
        <v>0.259481038</v>
      </c>
      <c r="X193">
        <v>0.64071856299999996</v>
      </c>
      <c r="Y193">
        <v>0.60678642699999996</v>
      </c>
      <c r="Z193">
        <v>0.84431137700000003</v>
      </c>
      <c r="AA193">
        <v>1.0279441119999999</v>
      </c>
      <c r="AB193">
        <v>0.92415169699999999</v>
      </c>
      <c r="AC193">
        <v>1.037924152</v>
      </c>
      <c r="AD193">
        <v>0.628742515</v>
      </c>
      <c r="AE193">
        <v>0.83632734500000006</v>
      </c>
      <c r="AF193">
        <v>0.71656686599999997</v>
      </c>
      <c r="AG193">
        <v>0.76846307400000002</v>
      </c>
      <c r="AH193">
        <v>0.67465069899999996</v>
      </c>
      <c r="AI193">
        <v>0.69461077800000004</v>
      </c>
      <c r="AJ193">
        <v>0.68662674700000004</v>
      </c>
    </row>
    <row r="194" spans="1:41">
      <c r="A194">
        <v>731</v>
      </c>
      <c r="B194" t="s">
        <v>113</v>
      </c>
      <c r="C194">
        <v>220</v>
      </c>
      <c r="D194" t="s">
        <v>117</v>
      </c>
      <c r="E194">
        <v>2007</v>
      </c>
    </row>
    <row r="195" spans="1:41">
      <c r="A195" s="23">
        <v>732</v>
      </c>
      <c r="B195" t="s">
        <v>113</v>
      </c>
      <c r="C195">
        <v>200</v>
      </c>
      <c r="D195" t="s">
        <v>117</v>
      </c>
      <c r="E195">
        <v>1992</v>
      </c>
      <c r="F195">
        <v>1</v>
      </c>
      <c r="G195">
        <v>0.88145315499999999</v>
      </c>
      <c r="H195">
        <v>0.70172084099999998</v>
      </c>
      <c r="I195">
        <v>0.29636711300000002</v>
      </c>
      <c r="J195">
        <v>0.36328871899999998</v>
      </c>
      <c r="K195">
        <v>0.14722753299999999</v>
      </c>
      <c r="L195">
        <v>0.170172084</v>
      </c>
      <c r="M195">
        <v>0.14722753299999999</v>
      </c>
      <c r="N195">
        <v>0.45315487599999998</v>
      </c>
      <c r="O195">
        <v>0.160611855</v>
      </c>
      <c r="P195">
        <v>0.166347992</v>
      </c>
      <c r="Q195">
        <v>0.14149139599999999</v>
      </c>
      <c r="R195">
        <v>0.120458891</v>
      </c>
      <c r="S195">
        <v>0.110898662</v>
      </c>
      <c r="T195">
        <v>7.8393880999999999E-2</v>
      </c>
      <c r="U195">
        <v>0.13575525799999999</v>
      </c>
      <c r="V195">
        <v>9.5602294000000004E-2</v>
      </c>
      <c r="W195">
        <v>0.28298279199999998</v>
      </c>
      <c r="X195">
        <v>0.120458891</v>
      </c>
      <c r="Y195">
        <v>8.9866157000000002E-2</v>
      </c>
      <c r="Z195">
        <v>0.260038241</v>
      </c>
      <c r="AA195">
        <v>0.168260038</v>
      </c>
      <c r="AB195">
        <v>0.22562141499999999</v>
      </c>
      <c r="AC195">
        <v>0.170172084</v>
      </c>
      <c r="AD195">
        <v>0.22179732299999999</v>
      </c>
      <c r="AE195">
        <v>0.23326959799999999</v>
      </c>
      <c r="AF195">
        <v>0.15105162499999999</v>
      </c>
      <c r="AG195">
        <v>0.14340344199999999</v>
      </c>
      <c r="AH195">
        <v>0.15105162499999999</v>
      </c>
      <c r="AI195">
        <v>0.14913957899999999</v>
      </c>
      <c r="AJ195">
        <v>0.118546845</v>
      </c>
    </row>
    <row r="196" spans="1:41">
      <c r="A196" s="23">
        <v>733</v>
      </c>
      <c r="B196" t="s">
        <v>113</v>
      </c>
      <c r="C196">
        <v>200</v>
      </c>
      <c r="D196" t="s">
        <v>117</v>
      </c>
      <c r="E196">
        <v>1992</v>
      </c>
      <c r="F196">
        <v>1</v>
      </c>
      <c r="G196">
        <v>0.88665879599999997</v>
      </c>
      <c r="H196">
        <v>0.54781582100000004</v>
      </c>
      <c r="I196">
        <v>0.44864226699999998</v>
      </c>
      <c r="J196">
        <v>0.26682408499999999</v>
      </c>
      <c r="K196">
        <v>0.317591499</v>
      </c>
      <c r="L196">
        <v>0.28099173599999999</v>
      </c>
      <c r="M196">
        <v>0.19952774500000001</v>
      </c>
      <c r="N196">
        <v>0.34356552499999998</v>
      </c>
      <c r="O196">
        <v>0.350649351</v>
      </c>
      <c r="P196">
        <v>0.16646989400000001</v>
      </c>
      <c r="Q196">
        <v>0.18063754400000001</v>
      </c>
      <c r="R196">
        <v>0.173553719</v>
      </c>
      <c r="S196">
        <v>0.29515938600000002</v>
      </c>
      <c r="T196">
        <v>0.10979929200000001</v>
      </c>
      <c r="U196">
        <v>0.27154663499999998</v>
      </c>
      <c r="V196">
        <v>0.115702479</v>
      </c>
      <c r="W196">
        <v>0.40023612800000002</v>
      </c>
      <c r="X196">
        <v>0.13341204300000001</v>
      </c>
      <c r="Y196">
        <v>9.3270365999999993E-2</v>
      </c>
      <c r="Z196">
        <v>0.18654073199999999</v>
      </c>
      <c r="AA196">
        <v>0.24793388399999999</v>
      </c>
      <c r="AB196">
        <v>0.328217237</v>
      </c>
      <c r="AC196">
        <v>0.262101535</v>
      </c>
      <c r="AD196">
        <v>0.13931523000000001</v>
      </c>
      <c r="AE196">
        <v>0.29397874899999998</v>
      </c>
      <c r="AF196">
        <v>0.21133411999999999</v>
      </c>
      <c r="AG196">
        <v>0.19008264499999999</v>
      </c>
      <c r="AH196">
        <v>0.17591499399999999</v>
      </c>
      <c r="AI196">
        <v>0.20070838299999999</v>
      </c>
      <c r="AJ196">
        <v>0.15348288099999999</v>
      </c>
    </row>
    <row r="197" spans="1:41">
      <c r="A197" s="23">
        <v>734</v>
      </c>
      <c r="B197" t="s">
        <v>113</v>
      </c>
      <c r="C197">
        <v>200</v>
      </c>
      <c r="D197" t="s">
        <v>117</v>
      </c>
      <c r="E197">
        <v>2008</v>
      </c>
      <c r="F197">
        <v>1</v>
      </c>
      <c r="G197">
        <v>0.94188679200000003</v>
      </c>
      <c r="H197">
        <v>0.79094339599999997</v>
      </c>
      <c r="I197">
        <v>0.63773584900000002</v>
      </c>
      <c r="J197">
        <v>0.86415094299999995</v>
      </c>
      <c r="K197">
        <v>0.59924528300000002</v>
      </c>
      <c r="L197">
        <v>0.67094339599999997</v>
      </c>
      <c r="M197">
        <v>0.78037735799999997</v>
      </c>
      <c r="N197">
        <v>0.44377358500000003</v>
      </c>
      <c r="O197">
        <v>0.51471698099999996</v>
      </c>
      <c r="P197">
        <v>0.44075471700000002</v>
      </c>
      <c r="Q197">
        <v>0.42566037699999998</v>
      </c>
      <c r="R197">
        <v>0.36301886799999999</v>
      </c>
      <c r="S197">
        <v>0.34339622600000003</v>
      </c>
      <c r="T197">
        <v>0.25283018899999998</v>
      </c>
    </row>
    <row r="198" spans="1:41">
      <c r="A198">
        <v>735</v>
      </c>
      <c r="B198" t="s">
        <v>113</v>
      </c>
      <c r="C198">
        <v>200</v>
      </c>
      <c r="D198" t="s">
        <v>117</v>
      </c>
      <c r="E198">
        <v>2015</v>
      </c>
      <c r="F198">
        <v>1</v>
      </c>
      <c r="G198">
        <v>0.81355932200000003</v>
      </c>
      <c r="H198">
        <v>0.905084746</v>
      </c>
      <c r="I198">
        <v>0.80338983100000005</v>
      </c>
      <c r="J198">
        <v>0.75389830499999999</v>
      </c>
      <c r="K198">
        <v>0.645423729</v>
      </c>
      <c r="L198">
        <v>0.54305084699999995</v>
      </c>
      <c r="M198">
        <v>0.51796610200000004</v>
      </c>
    </row>
    <row r="199" spans="1:41">
      <c r="A199" s="23">
        <v>741</v>
      </c>
      <c r="B199" t="s">
        <v>113</v>
      </c>
      <c r="C199">
        <v>201</v>
      </c>
      <c r="D199" t="s">
        <v>117</v>
      </c>
      <c r="E199">
        <v>2013</v>
      </c>
      <c r="F199">
        <v>1</v>
      </c>
      <c r="G199">
        <v>0.91757840999999996</v>
      </c>
      <c r="H199">
        <v>0.91101385800000001</v>
      </c>
      <c r="I199">
        <v>0.84536834400000005</v>
      </c>
      <c r="J199">
        <v>0.82421590099999997</v>
      </c>
      <c r="K199">
        <v>0.84974471200000001</v>
      </c>
      <c r="L199">
        <v>0.67250182300000005</v>
      </c>
      <c r="M199">
        <v>0.81765134900000003</v>
      </c>
      <c r="N199">
        <v>0.88037928499999996</v>
      </c>
      <c r="O199">
        <v>0.70386579100000002</v>
      </c>
    </row>
    <row r="200" spans="1:41">
      <c r="A200">
        <v>745</v>
      </c>
      <c r="B200" t="s">
        <v>113</v>
      </c>
      <c r="C200">
        <v>201</v>
      </c>
      <c r="D200" t="s">
        <v>117</v>
      </c>
      <c r="E200">
        <v>2013</v>
      </c>
      <c r="F200">
        <v>1</v>
      </c>
      <c r="G200">
        <v>1.03501281</v>
      </c>
      <c r="H200">
        <v>1.0162254479999999</v>
      </c>
      <c r="I200">
        <v>1.0017079419999999</v>
      </c>
      <c r="J200">
        <v>0.952177626</v>
      </c>
      <c r="K200">
        <v>0.91972672899999997</v>
      </c>
      <c r="L200">
        <v>0.78479931700000005</v>
      </c>
      <c r="M200">
        <v>0.86165670400000005</v>
      </c>
      <c r="N200">
        <v>0.83262169100000005</v>
      </c>
      <c r="O200">
        <v>0.53458582399999999</v>
      </c>
    </row>
    <row r="201" spans="1:41">
      <c r="A201" s="23">
        <v>749</v>
      </c>
      <c r="B201" t="s">
        <v>113</v>
      </c>
      <c r="C201">
        <v>201</v>
      </c>
      <c r="D201" t="s">
        <v>117</v>
      </c>
      <c r="E201">
        <v>1987</v>
      </c>
      <c r="F201">
        <v>1</v>
      </c>
      <c r="G201">
        <v>0.89382879900000001</v>
      </c>
      <c r="H201">
        <v>0.92833443900000001</v>
      </c>
      <c r="I201">
        <v>0.83012607800000004</v>
      </c>
      <c r="J201">
        <v>0.77504976800000003</v>
      </c>
      <c r="K201">
        <v>1.112143331</v>
      </c>
      <c r="L201">
        <v>0.765759788</v>
      </c>
      <c r="M201">
        <v>0.58195089600000005</v>
      </c>
      <c r="N201">
        <v>0.65759787700000005</v>
      </c>
      <c r="O201">
        <v>0.49635036500000002</v>
      </c>
      <c r="P201">
        <v>0.68148639700000002</v>
      </c>
      <c r="Q201">
        <v>0.46383543500000002</v>
      </c>
      <c r="R201">
        <v>0.49502322500000001</v>
      </c>
      <c r="S201">
        <v>0.506967485</v>
      </c>
      <c r="T201">
        <v>0.46383543500000002</v>
      </c>
      <c r="U201">
        <v>0.59721300600000005</v>
      </c>
      <c r="V201">
        <v>0.83543463799999995</v>
      </c>
      <c r="W201">
        <v>0.38155275399999999</v>
      </c>
      <c r="X201">
        <v>0.22030524200000001</v>
      </c>
      <c r="Y201">
        <v>6.2375580999999999E-2</v>
      </c>
      <c r="Z201">
        <v>0.491705375</v>
      </c>
      <c r="AA201">
        <v>9.3563371000000006E-2</v>
      </c>
      <c r="AB201">
        <v>7.3656270999999995E-2</v>
      </c>
      <c r="AC201">
        <v>0.26609157300000003</v>
      </c>
      <c r="AD201">
        <v>0.23822163199999999</v>
      </c>
      <c r="AE201">
        <v>0.292634373</v>
      </c>
      <c r="AF201">
        <v>0.33377571299999997</v>
      </c>
      <c r="AG201">
        <v>0.51824817499999998</v>
      </c>
      <c r="AH201">
        <v>0.42932979399999999</v>
      </c>
      <c r="AI201">
        <v>0.30590577299999999</v>
      </c>
      <c r="AJ201">
        <v>0.22229595199999999</v>
      </c>
      <c r="AK201">
        <v>0.225613802</v>
      </c>
      <c r="AL201">
        <v>4.9767749999999999E-2</v>
      </c>
      <c r="AM201">
        <v>2.388852E-2</v>
      </c>
      <c r="AN201">
        <v>2.3224950000000001E-2</v>
      </c>
      <c r="AO201">
        <v>2.1234240000000001E-2</v>
      </c>
    </row>
    <row r="202" spans="1:41">
      <c r="A202" s="23">
        <v>753</v>
      </c>
      <c r="B202" t="s">
        <v>113</v>
      </c>
      <c r="C202">
        <v>207</v>
      </c>
      <c r="D202" t="s">
        <v>117</v>
      </c>
      <c r="E202">
        <v>2001</v>
      </c>
      <c r="F202">
        <v>1</v>
      </c>
      <c r="G202">
        <v>1.2664359860000001</v>
      </c>
      <c r="H202">
        <v>0.85034602100000001</v>
      </c>
      <c r="I202">
        <v>0.88754325300000003</v>
      </c>
      <c r="J202">
        <v>0.83823529399999996</v>
      </c>
      <c r="K202">
        <v>0.76297577900000002</v>
      </c>
      <c r="L202">
        <v>0.783737024</v>
      </c>
      <c r="M202">
        <v>0.82785467099999999</v>
      </c>
      <c r="N202">
        <v>0.73961937700000002</v>
      </c>
      <c r="O202">
        <v>0.71799307999999995</v>
      </c>
      <c r="P202">
        <v>0.53892733599999998</v>
      </c>
      <c r="Q202">
        <v>0.66435986199999997</v>
      </c>
      <c r="R202">
        <v>0.47058823500000002</v>
      </c>
      <c r="S202">
        <v>0.59515570900000003</v>
      </c>
      <c r="T202">
        <v>0.54411764699999998</v>
      </c>
      <c r="U202">
        <v>0.442906574</v>
      </c>
      <c r="V202">
        <v>0.46453287199999999</v>
      </c>
      <c r="W202">
        <v>0.382352941</v>
      </c>
      <c r="X202">
        <v>0.40830449800000002</v>
      </c>
      <c r="Y202">
        <v>0.401384083</v>
      </c>
      <c r="Z202">
        <v>0.39792387499999998</v>
      </c>
      <c r="AA202">
        <v>0.36591695499999999</v>
      </c>
    </row>
    <row r="203" spans="1:41">
      <c r="A203" s="23">
        <v>757</v>
      </c>
      <c r="B203" t="s">
        <v>113</v>
      </c>
      <c r="C203">
        <v>201</v>
      </c>
      <c r="D203" t="s">
        <v>117</v>
      </c>
      <c r="E203">
        <v>2007</v>
      </c>
      <c r="F203">
        <v>1</v>
      </c>
      <c r="G203">
        <v>0.94575131999999995</v>
      </c>
      <c r="H203">
        <v>1.0230436869999999</v>
      </c>
      <c r="I203">
        <v>0.87806048999999997</v>
      </c>
      <c r="J203">
        <v>1.140662506</v>
      </c>
      <c r="K203">
        <v>1.024483917</v>
      </c>
      <c r="L203">
        <v>1.072971675</v>
      </c>
      <c r="M203">
        <v>1.0211233799999999</v>
      </c>
      <c r="N203">
        <v>0.96639462300000001</v>
      </c>
      <c r="O203">
        <v>0.38886221799999998</v>
      </c>
      <c r="P203">
        <v>0.32405184799999998</v>
      </c>
      <c r="Q203">
        <v>0.499759962</v>
      </c>
      <c r="R203">
        <v>0.425828133</v>
      </c>
      <c r="S203">
        <v>0.34901584299999999</v>
      </c>
      <c r="T203">
        <v>0.38550168000000001</v>
      </c>
      <c r="U203">
        <v>0.37493999</v>
      </c>
    </row>
    <row r="204" spans="1:41">
      <c r="A204">
        <v>758</v>
      </c>
      <c r="B204" t="s">
        <v>113</v>
      </c>
      <c r="C204">
        <v>274</v>
      </c>
      <c r="D204" t="s">
        <v>117</v>
      </c>
      <c r="E204">
        <v>1987</v>
      </c>
      <c r="F204">
        <v>1</v>
      </c>
      <c r="G204">
        <v>0.98191970200000001</v>
      </c>
      <c r="H204">
        <v>0.96330763100000005</v>
      </c>
      <c r="I204">
        <v>0.984046796</v>
      </c>
      <c r="J204">
        <v>0.94708853999999998</v>
      </c>
      <c r="K204">
        <v>0.97075245899999996</v>
      </c>
      <c r="L204">
        <v>0.89949481499999995</v>
      </c>
      <c r="M204">
        <v>0.88752991199999998</v>
      </c>
      <c r="N204">
        <v>0.62802446199999995</v>
      </c>
      <c r="O204">
        <v>0.70220685999999999</v>
      </c>
      <c r="P204">
        <v>0.62057963299999996</v>
      </c>
      <c r="Q204">
        <v>0.529646371</v>
      </c>
      <c r="R204">
        <v>0.46078170699999998</v>
      </c>
      <c r="S204">
        <v>0.65168838100000004</v>
      </c>
      <c r="T204">
        <v>0.65168838100000004</v>
      </c>
      <c r="U204">
        <v>0.58362137700000005</v>
      </c>
      <c r="V204">
        <v>0.51289550699999997</v>
      </c>
      <c r="W204">
        <v>0.52725339000000004</v>
      </c>
      <c r="X204">
        <v>0.51262962000000001</v>
      </c>
      <c r="Y204">
        <v>0.357883542</v>
      </c>
      <c r="Z204">
        <v>0.41770805599999999</v>
      </c>
      <c r="AA204">
        <v>0.439244882</v>
      </c>
      <c r="AB204">
        <v>0.46503589499999998</v>
      </c>
      <c r="AC204">
        <v>0.42914118600000001</v>
      </c>
      <c r="AD204">
        <v>0.39696889099999999</v>
      </c>
      <c r="AE204">
        <v>0.43525658099999998</v>
      </c>
      <c r="AF204">
        <v>0.50837543200000002</v>
      </c>
      <c r="AG204">
        <v>0.52246742899999998</v>
      </c>
      <c r="AH204">
        <v>0.52326508900000002</v>
      </c>
      <c r="AI204">
        <v>0.449348578</v>
      </c>
      <c r="AJ204">
        <v>0.43605424100000001</v>
      </c>
      <c r="AK204">
        <v>0.491092794</v>
      </c>
      <c r="AL204">
        <v>0.48072321200000001</v>
      </c>
      <c r="AM204">
        <v>0.45386865199999998</v>
      </c>
      <c r="AN204">
        <v>0.46051582000000002</v>
      </c>
      <c r="AO204">
        <v>0.43818133500000001</v>
      </c>
    </row>
    <row r="205" spans="1:41">
      <c r="A205">
        <v>763</v>
      </c>
      <c r="B205" t="s">
        <v>113</v>
      </c>
      <c r="C205">
        <v>274</v>
      </c>
      <c r="D205" t="s">
        <v>117</v>
      </c>
      <c r="E205">
        <v>2013</v>
      </c>
      <c r="F205">
        <v>1</v>
      </c>
      <c r="G205">
        <v>1.011420414</v>
      </c>
      <c r="H205">
        <v>0.98358315500000004</v>
      </c>
      <c r="I205">
        <v>0.82940756599999998</v>
      </c>
      <c r="J205">
        <v>0.87223411799999995</v>
      </c>
      <c r="K205">
        <v>0.86723768700000003</v>
      </c>
      <c r="L205">
        <v>0.86295503200000001</v>
      </c>
      <c r="M205">
        <v>0.76659528899999996</v>
      </c>
      <c r="N205">
        <v>0.79514632399999996</v>
      </c>
      <c r="O205">
        <v>0.77516059999999998</v>
      </c>
    </row>
    <row r="206" spans="1:41">
      <c r="A206" s="23">
        <v>767</v>
      </c>
      <c r="B206" t="s">
        <v>113</v>
      </c>
      <c r="C206">
        <v>274</v>
      </c>
      <c r="D206" t="s">
        <v>117</v>
      </c>
      <c r="E206">
        <v>2001</v>
      </c>
      <c r="F206">
        <v>1</v>
      </c>
      <c r="G206">
        <v>0.98565400800000003</v>
      </c>
      <c r="H206">
        <v>0.78818565399999996</v>
      </c>
      <c r="I206">
        <v>0.77721518999999994</v>
      </c>
      <c r="J206">
        <v>0.68607594900000002</v>
      </c>
      <c r="K206">
        <v>0.60168776400000001</v>
      </c>
      <c r="L206">
        <v>0.59409282699999999</v>
      </c>
      <c r="M206">
        <v>0.66413502099999999</v>
      </c>
      <c r="N206">
        <v>0.73839662399999995</v>
      </c>
      <c r="O206">
        <v>0.55864978899999995</v>
      </c>
      <c r="P206">
        <v>0.52827004200000005</v>
      </c>
      <c r="Q206">
        <v>0.67848101299999997</v>
      </c>
      <c r="R206">
        <v>0.607594937</v>
      </c>
      <c r="S206">
        <v>0.79915611799999997</v>
      </c>
      <c r="T206">
        <v>0.65400843900000005</v>
      </c>
      <c r="U206">
        <v>0.46160337600000001</v>
      </c>
      <c r="V206">
        <v>0.515611814</v>
      </c>
      <c r="W206">
        <v>0.56286919800000002</v>
      </c>
      <c r="X206">
        <v>0.54599156100000001</v>
      </c>
      <c r="Y206">
        <v>0.41097046399999998</v>
      </c>
      <c r="Z206">
        <v>0.46666666699999998</v>
      </c>
      <c r="AA206">
        <v>0.36708860799999998</v>
      </c>
    </row>
    <row r="207" spans="1:41">
      <c r="A207">
        <v>768</v>
      </c>
      <c r="B207" t="s">
        <v>113</v>
      </c>
      <c r="C207">
        <v>274</v>
      </c>
      <c r="D207" t="s">
        <v>117</v>
      </c>
      <c r="E207">
        <v>2012</v>
      </c>
      <c r="F207">
        <v>1</v>
      </c>
      <c r="G207">
        <v>0.94777777799999996</v>
      </c>
      <c r="H207">
        <v>0.95111111100000001</v>
      </c>
      <c r="I207">
        <v>0.92111111099999998</v>
      </c>
      <c r="J207">
        <v>0.76611111099999996</v>
      </c>
      <c r="K207">
        <v>0.89</v>
      </c>
      <c r="L207">
        <v>0.85555555599999999</v>
      </c>
      <c r="M207">
        <v>0.84444444399999996</v>
      </c>
      <c r="N207">
        <v>0.83166666700000003</v>
      </c>
      <c r="O207">
        <v>0.78444444400000002</v>
      </c>
      <c r="P207">
        <v>0.76722222200000001</v>
      </c>
    </row>
    <row r="208" spans="1:41">
      <c r="A208" s="23">
        <v>769</v>
      </c>
      <c r="B208" t="s">
        <v>113</v>
      </c>
      <c r="C208">
        <v>274</v>
      </c>
      <c r="D208" t="s">
        <v>117</v>
      </c>
      <c r="E208">
        <v>2009</v>
      </c>
      <c r="F208">
        <v>1</v>
      </c>
      <c r="G208">
        <v>0.93625771099999999</v>
      </c>
      <c r="H208">
        <v>0.91638108299999999</v>
      </c>
      <c r="I208">
        <v>0.96915695700000004</v>
      </c>
      <c r="J208">
        <v>0.93625771099999999</v>
      </c>
      <c r="K208">
        <v>0.98834818400000002</v>
      </c>
      <c r="L208">
        <v>1.0061686089999999</v>
      </c>
      <c r="M208">
        <v>0.92803289899999997</v>
      </c>
      <c r="N208">
        <v>1.0006854009999999</v>
      </c>
      <c r="O208">
        <v>1.04318026</v>
      </c>
      <c r="P208">
        <v>1.0870459219999999</v>
      </c>
      <c r="Q208">
        <v>0.94105551700000001</v>
      </c>
      <c r="R208">
        <v>0.81494174100000005</v>
      </c>
      <c r="S208">
        <v>0.79232350900000004</v>
      </c>
    </row>
    <row r="209" spans="1:41">
      <c r="A209" s="23">
        <v>774</v>
      </c>
      <c r="B209" t="s">
        <v>113</v>
      </c>
      <c r="C209">
        <v>274</v>
      </c>
      <c r="D209" t="s">
        <v>117</v>
      </c>
      <c r="E209">
        <v>2007</v>
      </c>
      <c r="F209">
        <v>1</v>
      </c>
      <c r="G209">
        <v>1.004591837</v>
      </c>
      <c r="H209">
        <v>0.96224489800000002</v>
      </c>
      <c r="I209">
        <v>0.79744897999999997</v>
      </c>
      <c r="J209">
        <v>0.81530612199999997</v>
      </c>
      <c r="K209">
        <v>0.96938775499999996</v>
      </c>
      <c r="L209">
        <v>0.85612244900000001</v>
      </c>
      <c r="M209">
        <v>0.94948979600000005</v>
      </c>
      <c r="N209">
        <v>0.94489795899999995</v>
      </c>
      <c r="O209">
        <v>0.75306122399999997</v>
      </c>
      <c r="P209">
        <v>0.76173469400000005</v>
      </c>
      <c r="Q209">
        <v>0.78520408200000003</v>
      </c>
      <c r="R209">
        <v>0.77857142899999998</v>
      </c>
      <c r="S209">
        <v>0.744897959</v>
      </c>
      <c r="T209">
        <v>0.72142857100000002</v>
      </c>
      <c r="U209">
        <v>0.69489795899999995</v>
      </c>
    </row>
    <row r="210" spans="1:41">
      <c r="A210" s="23">
        <v>776</v>
      </c>
      <c r="B210" t="s">
        <v>113</v>
      </c>
      <c r="C210">
        <v>274</v>
      </c>
      <c r="D210" t="s">
        <v>117</v>
      </c>
      <c r="E210">
        <v>1998</v>
      </c>
      <c r="F210">
        <v>1</v>
      </c>
      <c r="G210">
        <v>1.061312078</v>
      </c>
      <c r="H210">
        <v>1.121397915</v>
      </c>
      <c r="I210">
        <v>1.1085223790000001</v>
      </c>
      <c r="J210">
        <v>1.069282649</v>
      </c>
      <c r="K210">
        <v>0.82709993900000001</v>
      </c>
      <c r="L210">
        <v>0.85162477000000003</v>
      </c>
      <c r="M210">
        <v>0.82893930100000002</v>
      </c>
      <c r="N210">
        <v>0.815450644</v>
      </c>
      <c r="O210">
        <v>0.77743715499999999</v>
      </c>
      <c r="P210">
        <v>0.72900061299999996</v>
      </c>
      <c r="Q210">
        <v>0.73022685499999995</v>
      </c>
      <c r="R210">
        <v>0.75965665199999999</v>
      </c>
      <c r="S210">
        <v>0.73145309599999997</v>
      </c>
      <c r="T210">
        <v>0.77866339699999998</v>
      </c>
      <c r="U210">
        <v>0.73451869999999997</v>
      </c>
      <c r="V210">
        <v>0.74371551199999997</v>
      </c>
      <c r="W210">
        <v>0.73513182099999996</v>
      </c>
      <c r="X210">
        <v>0.72900061299999996</v>
      </c>
      <c r="Y210">
        <v>0.73390557899999997</v>
      </c>
      <c r="Z210">
        <v>0.78111587999999998</v>
      </c>
      <c r="AA210">
        <v>0.81115879800000001</v>
      </c>
      <c r="AB210">
        <v>0.79889638299999999</v>
      </c>
      <c r="AC210">
        <v>0.797670141</v>
      </c>
      <c r="AD210">
        <v>0.70815450599999996</v>
      </c>
    </row>
    <row r="211" spans="1:41">
      <c r="A211">
        <v>777</v>
      </c>
      <c r="B211" t="s">
        <v>113</v>
      </c>
      <c r="C211">
        <v>299</v>
      </c>
      <c r="D211" t="s">
        <v>117</v>
      </c>
      <c r="E211">
        <v>2006</v>
      </c>
      <c r="F211">
        <v>1</v>
      </c>
      <c r="G211">
        <v>1.049421661</v>
      </c>
      <c r="H211">
        <v>0.97686645599999999</v>
      </c>
      <c r="I211">
        <v>0.95478443700000004</v>
      </c>
      <c r="J211">
        <v>0.86540483700000004</v>
      </c>
      <c r="K211">
        <v>0.87802313399999998</v>
      </c>
      <c r="L211">
        <v>0.91377497399999996</v>
      </c>
      <c r="M211" s="24">
        <v>0.93901156699999999</v>
      </c>
      <c r="N211">
        <v>1.1661409039999999</v>
      </c>
      <c r="O211">
        <v>1.0136698209999999</v>
      </c>
      <c r="P211">
        <v>1.0410094640000001</v>
      </c>
      <c r="Q211">
        <v>1.0262881180000001</v>
      </c>
      <c r="R211">
        <v>1.0757097790000001</v>
      </c>
      <c r="S211">
        <v>1.03785489</v>
      </c>
      <c r="T211">
        <v>1.030494217</v>
      </c>
      <c r="U211">
        <v>1.007360673</v>
      </c>
      <c r="V211">
        <v>0.88643533100000005</v>
      </c>
    </row>
    <row r="212" spans="1:41">
      <c r="A212">
        <v>778</v>
      </c>
      <c r="B212" t="s">
        <v>113</v>
      </c>
      <c r="C212">
        <v>305</v>
      </c>
      <c r="D212" t="s">
        <v>117</v>
      </c>
      <c r="E212">
        <v>1990</v>
      </c>
      <c r="F212">
        <v>1</v>
      </c>
      <c r="G212">
        <v>0.89463441799999999</v>
      </c>
      <c r="H212">
        <v>0.97859327200000001</v>
      </c>
      <c r="I212">
        <v>0.93188768399999999</v>
      </c>
      <c r="J212">
        <v>0.86266333100000003</v>
      </c>
      <c r="K212">
        <v>0.81567973299999996</v>
      </c>
      <c r="L212">
        <v>0.82958020600000004</v>
      </c>
      <c r="M212">
        <v>0.81011954399999997</v>
      </c>
      <c r="N212">
        <v>0.72921879300000003</v>
      </c>
      <c r="O212">
        <v>0.75674172900000003</v>
      </c>
      <c r="P212">
        <v>0.79927717499999995</v>
      </c>
      <c r="Q212">
        <v>0.80539338299999996</v>
      </c>
      <c r="R212">
        <v>0.81818181800000001</v>
      </c>
      <c r="S212">
        <v>0.655546289</v>
      </c>
      <c r="T212">
        <v>0.75257158700000004</v>
      </c>
      <c r="U212">
        <v>0.74951348299999998</v>
      </c>
      <c r="V212">
        <v>0.66777870399999995</v>
      </c>
      <c r="W212">
        <v>0.72365860400000004</v>
      </c>
      <c r="X212">
        <v>0.63108145699999996</v>
      </c>
      <c r="Y212">
        <v>0.72671670799999999</v>
      </c>
      <c r="Z212">
        <v>0.64970808999999996</v>
      </c>
      <c r="AA212">
        <v>0.65026410899999998</v>
      </c>
      <c r="AB212">
        <v>0.70836808500000004</v>
      </c>
      <c r="AC212">
        <v>0.74117319999999998</v>
      </c>
      <c r="AD212">
        <v>0.77814845700000002</v>
      </c>
      <c r="AE212">
        <v>0.80400333599999996</v>
      </c>
      <c r="AF212">
        <v>0.80038921299999999</v>
      </c>
      <c r="AG212">
        <v>0.794829024</v>
      </c>
      <c r="AH212">
        <v>0.796219071</v>
      </c>
      <c r="AI212">
        <v>0.79455101500000003</v>
      </c>
      <c r="AJ212">
        <v>0.78899082600000003</v>
      </c>
      <c r="AK212">
        <v>0.79983319399999997</v>
      </c>
      <c r="AL212">
        <v>0.79899916599999998</v>
      </c>
    </row>
    <row r="213" spans="1:41">
      <c r="A213">
        <v>779</v>
      </c>
      <c r="B213" t="s">
        <v>113</v>
      </c>
      <c r="C213">
        <v>366</v>
      </c>
      <c r="D213" t="s">
        <v>117</v>
      </c>
      <c r="E213">
        <v>1992</v>
      </c>
      <c r="F213">
        <v>1</v>
      </c>
      <c r="G213">
        <v>0.76561780499999998</v>
      </c>
      <c r="H213">
        <v>0.72555640799999999</v>
      </c>
      <c r="I213">
        <v>0.66231772799999999</v>
      </c>
      <c r="J213">
        <v>0.60245587099999998</v>
      </c>
      <c r="K213">
        <v>0.58879508800000002</v>
      </c>
      <c r="L213">
        <v>0.58879508800000002</v>
      </c>
      <c r="M213">
        <v>0.55149654599999998</v>
      </c>
      <c r="N213">
        <v>0.56454336100000002</v>
      </c>
      <c r="O213">
        <v>0.56500383700000001</v>
      </c>
      <c r="P213">
        <v>0.56101304699999999</v>
      </c>
      <c r="Q213">
        <v>0.568994628</v>
      </c>
      <c r="R213">
        <v>0.54136607800000003</v>
      </c>
      <c r="S213">
        <v>0.54581734500000001</v>
      </c>
      <c r="T213">
        <v>0.55257098999999998</v>
      </c>
      <c r="U213">
        <v>0.53200307000000002</v>
      </c>
      <c r="V213">
        <v>0.52110514200000002</v>
      </c>
      <c r="W213">
        <v>0.54198004600000005</v>
      </c>
      <c r="X213">
        <v>0.54336147400000001</v>
      </c>
      <c r="Y213">
        <v>0.36346891799999997</v>
      </c>
      <c r="Z213">
        <v>0.45003837299999999</v>
      </c>
      <c r="AA213">
        <v>0.42624712199999998</v>
      </c>
      <c r="AB213">
        <v>0.48779739100000002</v>
      </c>
      <c r="AC213">
        <v>0.43146584799999999</v>
      </c>
      <c r="AD213">
        <v>0.397697621</v>
      </c>
      <c r="AE213">
        <v>0.402609363</v>
      </c>
      <c r="AF213">
        <v>0.40629316999999998</v>
      </c>
      <c r="AG213">
        <v>0.37006907100000003</v>
      </c>
      <c r="AH213">
        <v>0.34090560199999997</v>
      </c>
      <c r="AI213">
        <v>0.39447429000000001</v>
      </c>
      <c r="AJ213">
        <v>0.35226400600000002</v>
      </c>
    </row>
    <row r="214" spans="1:41">
      <c r="A214" s="23">
        <v>780</v>
      </c>
      <c r="B214" t="s">
        <v>113</v>
      </c>
      <c r="C214">
        <v>366</v>
      </c>
      <c r="D214" t="s">
        <v>117</v>
      </c>
      <c r="E214">
        <v>2010</v>
      </c>
      <c r="F214">
        <v>1</v>
      </c>
      <c r="G214">
        <v>0.84252711000000002</v>
      </c>
      <c r="H214">
        <v>0.94326575499999998</v>
      </c>
      <c r="I214">
        <v>0.92629262899999998</v>
      </c>
      <c r="J214">
        <v>0.959138771</v>
      </c>
      <c r="K214">
        <v>0.96008172199999997</v>
      </c>
      <c r="L214">
        <v>0.746031746</v>
      </c>
      <c r="M214">
        <v>0.76756247099999997</v>
      </c>
      <c r="N214">
        <v>0.76599088500000001</v>
      </c>
      <c r="O214">
        <v>0.72135784999999997</v>
      </c>
      <c r="P214">
        <v>0.65189376099999996</v>
      </c>
      <c r="Q214">
        <v>0.68191104800000002</v>
      </c>
      <c r="R214">
        <v>0.52333804799999994</v>
      </c>
    </row>
    <row r="215" spans="1:41">
      <c r="A215">
        <v>782</v>
      </c>
      <c r="B215" t="s">
        <v>113</v>
      </c>
      <c r="C215">
        <v>366</v>
      </c>
      <c r="D215" t="s">
        <v>117</v>
      </c>
      <c r="E215">
        <v>1994</v>
      </c>
      <c r="F215">
        <v>1</v>
      </c>
      <c r="G215">
        <v>1.0639759550000001</v>
      </c>
      <c r="H215">
        <v>0.96006869900000003</v>
      </c>
      <c r="I215">
        <v>0.84113353400000002</v>
      </c>
      <c r="J215">
        <v>0.76427651399999996</v>
      </c>
      <c r="K215">
        <v>0.76170030099999997</v>
      </c>
      <c r="L215">
        <v>0.84285100899999998</v>
      </c>
      <c r="M215">
        <v>0.89308716200000005</v>
      </c>
      <c r="N215">
        <v>0.89136968699999997</v>
      </c>
      <c r="O215">
        <v>0.82610562499999995</v>
      </c>
      <c r="P215">
        <v>0.83941605799999996</v>
      </c>
      <c r="Q215">
        <v>0.84413911600000002</v>
      </c>
      <c r="R215">
        <v>0.82138256799999998</v>
      </c>
      <c r="S215">
        <v>0.82911120699999996</v>
      </c>
      <c r="T215">
        <v>0.81751824799999995</v>
      </c>
      <c r="U215">
        <v>0.82868183799999995</v>
      </c>
      <c r="V215">
        <v>0.83340489500000003</v>
      </c>
      <c r="W215">
        <v>0.79218548700000002</v>
      </c>
      <c r="X215">
        <v>0.85530270500000005</v>
      </c>
      <c r="Y215">
        <v>0.83254615700000001</v>
      </c>
      <c r="Z215">
        <v>0.859167024</v>
      </c>
      <c r="AA215">
        <v>0.89051094900000005</v>
      </c>
      <c r="AB215">
        <v>0.89523400600000003</v>
      </c>
      <c r="AC215">
        <v>0.89523400600000003</v>
      </c>
      <c r="AD215">
        <v>0.91155002100000004</v>
      </c>
      <c r="AE215">
        <v>0.87634177800000002</v>
      </c>
      <c r="AF215">
        <v>0.86045513100000004</v>
      </c>
      <c r="AG215">
        <v>0.86346071300000005</v>
      </c>
      <c r="AH215">
        <v>0.87376556500000002</v>
      </c>
    </row>
    <row r="216" spans="1:41">
      <c r="A216">
        <v>783</v>
      </c>
      <c r="B216" t="s">
        <v>113</v>
      </c>
      <c r="C216">
        <v>366</v>
      </c>
      <c r="D216" t="s">
        <v>117</v>
      </c>
      <c r="E216">
        <v>1987</v>
      </c>
      <c r="F216">
        <v>1</v>
      </c>
      <c r="G216">
        <v>0.81038479399999996</v>
      </c>
      <c r="H216">
        <v>0.88085303699999995</v>
      </c>
      <c r="I216">
        <v>0.98562818699999999</v>
      </c>
      <c r="J216">
        <v>1.0143718129999999</v>
      </c>
      <c r="K216">
        <v>1.0199350949999999</v>
      </c>
      <c r="L216">
        <v>0.92304126099999995</v>
      </c>
      <c r="M216">
        <v>0.92814093600000003</v>
      </c>
      <c r="N216">
        <v>0.94343996299999999</v>
      </c>
      <c r="O216">
        <v>0.89800648999999999</v>
      </c>
      <c r="P216">
        <v>0.909596662</v>
      </c>
      <c r="Q216">
        <v>0.867408438</v>
      </c>
      <c r="R216">
        <v>0.84932777000000004</v>
      </c>
      <c r="S216">
        <v>0.84005563299999997</v>
      </c>
      <c r="T216">
        <v>0.85257301799999996</v>
      </c>
      <c r="U216">
        <v>0.82892906799999999</v>
      </c>
      <c r="V216">
        <v>0.81177561399999998</v>
      </c>
      <c r="W216">
        <v>0.80713954600000004</v>
      </c>
      <c r="X216">
        <v>0.79601298099999995</v>
      </c>
      <c r="Y216">
        <v>0.824756606</v>
      </c>
      <c r="Z216">
        <v>0.83124710199999996</v>
      </c>
      <c r="AA216">
        <v>0.80899397299999998</v>
      </c>
      <c r="AB216">
        <v>0.80250347700000002</v>
      </c>
      <c r="AC216">
        <v>0.81733889699999995</v>
      </c>
      <c r="AD216">
        <v>0.79091330599999998</v>
      </c>
      <c r="AE216">
        <v>0.79276773300000003</v>
      </c>
      <c r="AF216">
        <v>0.80853036599999994</v>
      </c>
      <c r="AG216">
        <v>0.80853036599999994</v>
      </c>
      <c r="AH216">
        <v>0.81038479399999996</v>
      </c>
      <c r="AI216">
        <v>0.81177561399999998</v>
      </c>
      <c r="AJ216">
        <v>0.80760315299999996</v>
      </c>
      <c r="AK216">
        <v>0.82104775200000002</v>
      </c>
      <c r="AL216">
        <v>0.80945758000000001</v>
      </c>
      <c r="AM216">
        <v>0.79554937400000003</v>
      </c>
      <c r="AN216">
        <v>0.81687529000000003</v>
      </c>
      <c r="AO216">
        <v>0.80157626299999996</v>
      </c>
    </row>
    <row r="217" spans="1:41">
      <c r="A217" s="23">
        <v>787</v>
      </c>
      <c r="B217" t="s">
        <v>113</v>
      </c>
      <c r="C217">
        <v>366</v>
      </c>
      <c r="D217" t="s">
        <v>117</v>
      </c>
      <c r="E217">
        <v>1991</v>
      </c>
      <c r="F217">
        <v>1</v>
      </c>
      <c r="G217">
        <v>0.964180857</v>
      </c>
      <c r="H217">
        <v>0.81385789799999997</v>
      </c>
      <c r="I217">
        <v>0.53552554299999999</v>
      </c>
      <c r="J217">
        <v>0.70463887300000005</v>
      </c>
      <c r="K217">
        <v>0.510863183</v>
      </c>
      <c r="L217">
        <v>0.58896065799999997</v>
      </c>
      <c r="M217">
        <v>0.60598943000000005</v>
      </c>
      <c r="N217">
        <v>0.60070463900000004</v>
      </c>
      <c r="O217">
        <v>0.61655901400000002</v>
      </c>
      <c r="P217">
        <v>0.60892542599999999</v>
      </c>
      <c r="Q217">
        <v>0.60775102800000003</v>
      </c>
      <c r="R217">
        <v>0.52436876099999996</v>
      </c>
      <c r="S217">
        <v>0.60246623600000004</v>
      </c>
      <c r="T217">
        <v>0.60129183799999997</v>
      </c>
      <c r="U217">
        <v>0.49148561400000002</v>
      </c>
      <c r="V217">
        <v>0.54433352899999998</v>
      </c>
      <c r="W217">
        <v>0.46564885499999997</v>
      </c>
      <c r="X217">
        <v>0.54609512599999999</v>
      </c>
      <c r="Y217">
        <v>0.58132706999999995</v>
      </c>
      <c r="Z217">
        <v>0.57486788</v>
      </c>
      <c r="AA217">
        <v>0.52143276599999999</v>
      </c>
      <c r="AB217">
        <v>0.50910158500000002</v>
      </c>
      <c r="AC217">
        <v>0.57017028800000003</v>
      </c>
      <c r="AD217">
        <v>0.57604227799999996</v>
      </c>
      <c r="AE217">
        <v>0.57369348200000003</v>
      </c>
      <c r="AF217">
        <v>0.60422783300000005</v>
      </c>
      <c r="AG217">
        <v>0.64063417499999997</v>
      </c>
      <c r="AH217">
        <v>0.65237815600000004</v>
      </c>
      <c r="AI217">
        <v>0.66823253100000002</v>
      </c>
      <c r="AJ217">
        <v>0.72988843199999998</v>
      </c>
      <c r="AK217">
        <v>0.739283617</v>
      </c>
    </row>
    <row r="218" spans="1:41">
      <c r="A218">
        <v>788</v>
      </c>
      <c r="B218" t="s">
        <v>113</v>
      </c>
      <c r="C218">
        <v>366</v>
      </c>
      <c r="D218" t="s">
        <v>117</v>
      </c>
      <c r="E218">
        <v>2018</v>
      </c>
      <c r="F218">
        <v>1</v>
      </c>
      <c r="G218">
        <v>0.96059889700000001</v>
      </c>
      <c r="H218">
        <v>0.72550564699999998</v>
      </c>
      <c r="I218">
        <v>0.71315996800000003</v>
      </c>
      <c r="J218">
        <v>0.54242185399999998</v>
      </c>
    </row>
    <row r="219" spans="1:41">
      <c r="A219" s="23">
        <v>789</v>
      </c>
      <c r="B219" t="s">
        <v>113</v>
      </c>
      <c r="C219">
        <v>366</v>
      </c>
      <c r="D219" t="s">
        <v>117</v>
      </c>
      <c r="E219">
        <v>2017</v>
      </c>
      <c r="F219">
        <v>1</v>
      </c>
      <c r="G219">
        <v>0.92498450099999996</v>
      </c>
      <c r="H219">
        <v>0.91630502199999997</v>
      </c>
      <c r="I219">
        <v>0.89274643499999995</v>
      </c>
      <c r="J219">
        <v>0.92250465000000004</v>
      </c>
      <c r="K219">
        <v>0.847489151</v>
      </c>
    </row>
    <row r="220" spans="1:41">
      <c r="A220">
        <v>790</v>
      </c>
      <c r="B220" t="s">
        <v>113</v>
      </c>
      <c r="C220">
        <v>305</v>
      </c>
      <c r="D220" t="s">
        <v>117</v>
      </c>
      <c r="E220">
        <v>2009</v>
      </c>
      <c r="F220">
        <v>1</v>
      </c>
      <c r="G220">
        <v>0.79850347399999999</v>
      </c>
      <c r="H220">
        <v>0.76590058800000005</v>
      </c>
      <c r="I220">
        <v>0.81961517900000003</v>
      </c>
      <c r="J220">
        <v>0.85462319600000003</v>
      </c>
      <c r="K220">
        <v>0.84767504000000005</v>
      </c>
      <c r="L220">
        <v>0.86370924599999999</v>
      </c>
      <c r="M220">
        <v>0.75253874899999995</v>
      </c>
      <c r="N220">
        <v>0.76857295599999997</v>
      </c>
      <c r="O220">
        <v>0.79796900100000001</v>
      </c>
      <c r="P220">
        <v>0.786745056</v>
      </c>
      <c r="Q220">
        <v>0.79075360800000005</v>
      </c>
      <c r="R220">
        <v>0.77872795299999997</v>
      </c>
      <c r="S220">
        <v>0.76509887799999998</v>
      </c>
    </row>
    <row r="221" spans="1:41">
      <c r="A221" s="35">
        <v>791</v>
      </c>
      <c r="B221" t="s">
        <v>113</v>
      </c>
      <c r="C221">
        <v>366</v>
      </c>
      <c r="D221" t="s">
        <v>117</v>
      </c>
      <c r="E221">
        <v>2003</v>
      </c>
      <c r="F221">
        <v>1</v>
      </c>
      <c r="G221">
        <v>0.90964590999999995</v>
      </c>
      <c r="H221">
        <v>0.81990231999999996</v>
      </c>
      <c r="I221">
        <v>0.79975580000000002</v>
      </c>
      <c r="J221">
        <v>0.79670329699999998</v>
      </c>
      <c r="K221">
        <v>0.77533577499999995</v>
      </c>
      <c r="L221">
        <v>0.78815628800000004</v>
      </c>
      <c r="M221">
        <v>0.99267399300000003</v>
      </c>
      <c r="N221">
        <v>0.963369963</v>
      </c>
      <c r="O221">
        <v>0.95421245399999999</v>
      </c>
      <c r="P221">
        <v>0.93650793700000001</v>
      </c>
      <c r="Q221">
        <v>1.029304029</v>
      </c>
      <c r="R221">
        <v>1.028083028</v>
      </c>
      <c r="S221">
        <v>1.0244200240000001</v>
      </c>
      <c r="T221">
        <v>1.0445665449999999</v>
      </c>
      <c r="U221">
        <v>1.0579975580000001</v>
      </c>
      <c r="V221">
        <v>1.0525030529999999</v>
      </c>
      <c r="W221">
        <v>1.0500610500000001</v>
      </c>
      <c r="X221">
        <v>1.053113553</v>
      </c>
      <c r="Y221">
        <v>1.0555555560000001</v>
      </c>
    </row>
    <row r="222" spans="1:41">
      <c r="A222" s="23">
        <v>794</v>
      </c>
      <c r="B222" t="s">
        <v>113</v>
      </c>
      <c r="C222">
        <v>366</v>
      </c>
      <c r="D222" t="s">
        <v>117</v>
      </c>
      <c r="E222">
        <v>1991</v>
      </c>
      <c r="F222">
        <v>1</v>
      </c>
      <c r="G222">
        <v>0.992492492</v>
      </c>
      <c r="H222">
        <v>0.84184184200000001</v>
      </c>
      <c r="I222">
        <v>0.84284284300000001</v>
      </c>
      <c r="J222">
        <v>0.81581581599999997</v>
      </c>
      <c r="K222">
        <v>0.78678678700000004</v>
      </c>
      <c r="L222">
        <v>0.77177177200000002</v>
      </c>
      <c r="M222">
        <v>0.73223223199999998</v>
      </c>
      <c r="N222">
        <v>0.68818818800000003</v>
      </c>
      <c r="O222">
        <v>0.73673673699999997</v>
      </c>
      <c r="P222">
        <v>0.79529529499999996</v>
      </c>
      <c r="Q222">
        <v>0.83733733700000001</v>
      </c>
      <c r="R222">
        <v>0.70570570600000004</v>
      </c>
      <c r="S222">
        <v>0.73023022999999998</v>
      </c>
      <c r="T222">
        <v>0.75225225200000001</v>
      </c>
      <c r="U222">
        <v>0.828328328</v>
      </c>
      <c r="V222">
        <v>0.755755756</v>
      </c>
      <c r="W222">
        <v>0.70720720699999995</v>
      </c>
      <c r="X222">
        <v>0.74674674699999999</v>
      </c>
      <c r="Y222">
        <v>0.836836837</v>
      </c>
      <c r="Z222">
        <v>0.83533533500000001</v>
      </c>
      <c r="AA222">
        <v>0.88088088099999995</v>
      </c>
      <c r="AB222">
        <v>0.87287287300000005</v>
      </c>
      <c r="AC222">
        <v>0.83183183199999999</v>
      </c>
      <c r="AD222">
        <v>0.88438438399999997</v>
      </c>
      <c r="AE222">
        <v>0.78078078100000003</v>
      </c>
      <c r="AF222">
        <v>0.78428428400000005</v>
      </c>
      <c r="AG222">
        <v>0.77877877900000003</v>
      </c>
      <c r="AH222">
        <v>0.81231231199999998</v>
      </c>
      <c r="AI222">
        <v>0.80780780799999996</v>
      </c>
      <c r="AJ222">
        <v>0.81331331299999998</v>
      </c>
      <c r="AK222">
        <v>0.72372372399999996</v>
      </c>
    </row>
    <row r="223" spans="1:41">
      <c r="A223">
        <v>797</v>
      </c>
      <c r="B223" t="s">
        <v>113</v>
      </c>
      <c r="C223">
        <v>366</v>
      </c>
      <c r="D223" t="s">
        <v>117</v>
      </c>
      <c r="E223">
        <v>2011</v>
      </c>
      <c r="F223">
        <v>1</v>
      </c>
      <c r="G223">
        <v>0.98231037300000001</v>
      </c>
      <c r="H223">
        <v>0.99785580299999999</v>
      </c>
      <c r="I223">
        <v>1.012865184</v>
      </c>
      <c r="J223">
        <v>1.1168587510000001</v>
      </c>
      <c r="K223">
        <v>0.96569284399999999</v>
      </c>
      <c r="L223">
        <v>0.99115518599999997</v>
      </c>
      <c r="M223">
        <v>1.0061645669999999</v>
      </c>
      <c r="N223">
        <v>1.0013401230000001</v>
      </c>
      <c r="O223">
        <v>0.91450013399999996</v>
      </c>
      <c r="P223">
        <v>0.94023050100000005</v>
      </c>
      <c r="Q223">
        <v>0.87242026299999997</v>
      </c>
    </row>
    <row r="224" spans="1:41">
      <c r="A224" s="23">
        <v>798</v>
      </c>
      <c r="B224" t="s">
        <v>113</v>
      </c>
      <c r="C224">
        <v>366</v>
      </c>
      <c r="D224" t="s">
        <v>117</v>
      </c>
      <c r="E224">
        <v>1998</v>
      </c>
      <c r="F224">
        <v>1</v>
      </c>
      <c r="G224">
        <v>0.84296998400000001</v>
      </c>
      <c r="H224">
        <v>0.80473933600000003</v>
      </c>
      <c r="I224">
        <v>0.90410742499999996</v>
      </c>
      <c r="J224">
        <v>0.86492891000000005</v>
      </c>
      <c r="K224">
        <v>0.80884676099999997</v>
      </c>
      <c r="L224">
        <v>0.83949447099999996</v>
      </c>
      <c r="M224">
        <v>0.87203791500000005</v>
      </c>
      <c r="N224">
        <v>0.79605055300000005</v>
      </c>
      <c r="O224">
        <v>0.94944707699999997</v>
      </c>
      <c r="P224">
        <v>0.78104265399999995</v>
      </c>
      <c r="Q224">
        <v>0.775197472</v>
      </c>
      <c r="R224">
        <v>0.81895734600000003</v>
      </c>
      <c r="S224">
        <v>0.67077409200000004</v>
      </c>
      <c r="T224">
        <v>0.81658767799999998</v>
      </c>
      <c r="U224">
        <v>0.790837283</v>
      </c>
      <c r="V224">
        <v>0.87914691899999997</v>
      </c>
      <c r="W224">
        <v>0.79399684000000004</v>
      </c>
      <c r="X224">
        <v>0.79826224300000004</v>
      </c>
      <c r="Y224">
        <v>0.78467614500000005</v>
      </c>
      <c r="Z224">
        <v>0.79352290700000006</v>
      </c>
      <c r="AA224">
        <v>0.78925750400000005</v>
      </c>
      <c r="AB224">
        <v>0.74565560799999997</v>
      </c>
      <c r="AC224">
        <v>0.783728278</v>
      </c>
      <c r="AD224">
        <v>0.75703001599999997</v>
      </c>
    </row>
    <row r="225" spans="1:42">
      <c r="A225" s="23">
        <v>804</v>
      </c>
      <c r="B225" t="s">
        <v>113</v>
      </c>
      <c r="C225">
        <v>469</v>
      </c>
      <c r="D225" t="s">
        <v>117</v>
      </c>
      <c r="E225">
        <v>1997</v>
      </c>
      <c r="F225">
        <v>1</v>
      </c>
      <c r="G225">
        <v>1.013734224</v>
      </c>
      <c r="H225">
        <v>0.74127691200000001</v>
      </c>
      <c r="I225">
        <v>0.825909428</v>
      </c>
      <c r="J225">
        <v>0.78025241300000003</v>
      </c>
      <c r="K225">
        <v>0.94097995499999998</v>
      </c>
      <c r="L225">
        <v>0.66907943599999997</v>
      </c>
      <c r="M225">
        <v>0.73979213099999996</v>
      </c>
      <c r="N225">
        <v>0.77449888600000005</v>
      </c>
      <c r="O225">
        <v>0.75705270999999996</v>
      </c>
      <c r="P225">
        <v>0.75965107600000004</v>
      </c>
      <c r="Q225">
        <v>0.67390497400000005</v>
      </c>
      <c r="R225">
        <v>0.70545656999999995</v>
      </c>
      <c r="S225">
        <v>0.69599109100000001</v>
      </c>
      <c r="T225">
        <v>0.65089086900000004</v>
      </c>
      <c r="U225">
        <v>0.68392724599999999</v>
      </c>
      <c r="V225">
        <v>0.66351150699999994</v>
      </c>
      <c r="W225">
        <v>0.68095768400000001</v>
      </c>
      <c r="X225">
        <v>0.66518188600000006</v>
      </c>
      <c r="Y225">
        <v>0.65033407600000004</v>
      </c>
      <c r="Z225">
        <v>0.69116555300000004</v>
      </c>
      <c r="AA225">
        <v>0.71789161099999999</v>
      </c>
      <c r="AB225">
        <v>0.72011878200000001</v>
      </c>
      <c r="AC225">
        <v>0.70230141099999999</v>
      </c>
      <c r="AD225">
        <v>0.70898292500000004</v>
      </c>
      <c r="AE225">
        <v>0.66610987399999999</v>
      </c>
    </row>
    <row r="226" spans="1:42">
      <c r="A226" s="23">
        <v>54</v>
      </c>
      <c r="B226" t="s">
        <v>113</v>
      </c>
      <c r="C226">
        <v>200</v>
      </c>
      <c r="D226" t="s">
        <v>117</v>
      </c>
      <c r="E226">
        <v>2018</v>
      </c>
      <c r="F226">
        <v>1</v>
      </c>
      <c r="G226">
        <v>0.89860834999999994</v>
      </c>
      <c r="H226">
        <v>0.92246520899999995</v>
      </c>
      <c r="I226">
        <v>0.93638171000000003</v>
      </c>
      <c r="J226">
        <v>0.91650099399999996</v>
      </c>
    </row>
    <row r="227" spans="1:42">
      <c r="A227" s="23">
        <v>114</v>
      </c>
      <c r="B227" t="s">
        <v>113</v>
      </c>
      <c r="C227">
        <v>200</v>
      </c>
      <c r="D227" t="s">
        <v>114</v>
      </c>
      <c r="E227">
        <v>1986</v>
      </c>
      <c r="F227">
        <v>1</v>
      </c>
      <c r="G227">
        <v>0.83199999999999996</v>
      </c>
      <c r="H227">
        <v>0.83066666700000003</v>
      </c>
      <c r="I227">
        <v>0.75866666699999996</v>
      </c>
      <c r="J227">
        <v>0.84</v>
      </c>
      <c r="K227">
        <v>0.83599999999999997</v>
      </c>
      <c r="L227">
        <v>0.88666666699999996</v>
      </c>
      <c r="M227">
        <v>0.81066666700000001</v>
      </c>
      <c r="N227">
        <v>0.66533333299999997</v>
      </c>
      <c r="O227">
        <v>0.87466666699999995</v>
      </c>
      <c r="P227">
        <v>0.65466666699999998</v>
      </c>
      <c r="Q227">
        <v>0.83199999999999996</v>
      </c>
      <c r="R227">
        <v>0.67600000000000005</v>
      </c>
      <c r="S227">
        <v>0.56266666700000001</v>
      </c>
      <c r="T227">
        <v>0.63866666699999997</v>
      </c>
      <c r="U227">
        <v>0.62133333300000004</v>
      </c>
      <c r="V227">
        <v>0.54266666699999999</v>
      </c>
      <c r="W227">
        <v>0.52400000000000002</v>
      </c>
      <c r="X227">
        <v>0.577333333</v>
      </c>
      <c r="Y227">
        <v>0.494666667</v>
      </c>
      <c r="Z227">
        <v>0.57866666700000002</v>
      </c>
      <c r="AA227">
        <v>0.78933333299999997</v>
      </c>
      <c r="AB227">
        <v>0.58399999999999996</v>
      </c>
      <c r="AC227">
        <v>0.58133333300000001</v>
      </c>
      <c r="AD227">
        <v>0.55600000000000005</v>
      </c>
      <c r="AE227">
        <v>0.54133333299999997</v>
      </c>
      <c r="AF227">
        <v>0.59333333300000002</v>
      </c>
      <c r="AG227">
        <v>0.60399999999999998</v>
      </c>
      <c r="AH227">
        <v>0.59866666700000004</v>
      </c>
      <c r="AI227">
        <v>0.76933333299999995</v>
      </c>
      <c r="AJ227">
        <v>0.70533333300000001</v>
      </c>
      <c r="AK227">
        <v>0.55333333299999998</v>
      </c>
      <c r="AL227">
        <v>0.58533333300000001</v>
      </c>
      <c r="AM227">
        <v>0.74533333300000004</v>
      </c>
      <c r="AN227">
        <v>0.62133333300000004</v>
      </c>
      <c r="AO227">
        <v>0.54933333299999998</v>
      </c>
      <c r="AP227">
        <v>0.51466666699999997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C1D1-6A26-49F9-B613-6D0AC9546A08}">
  <dimension ref="A1:AM218"/>
  <sheetViews>
    <sheetView workbookViewId="0">
      <selection activeCell="O7" sqref="O7"/>
    </sheetView>
  </sheetViews>
  <sheetFormatPr defaultRowHeight="13.5"/>
  <cols>
    <col min="4" max="4" width="12.625" customWidth="1"/>
    <col min="6" max="6" width="8.875" customWidth="1"/>
    <col min="11" max="11" width="10.875" customWidth="1"/>
    <col min="23" max="23" width="12.625" bestFit="1" customWidth="1"/>
  </cols>
  <sheetData>
    <row r="1" spans="1:39" ht="40.5">
      <c r="A1" s="36" t="s">
        <v>0</v>
      </c>
      <c r="B1" s="37" t="s">
        <v>1</v>
      </c>
      <c r="C1" s="38" t="s">
        <v>3</v>
      </c>
      <c r="D1" s="39" t="s">
        <v>118</v>
      </c>
      <c r="E1" s="39" t="s">
        <v>119</v>
      </c>
      <c r="F1" s="39" t="s">
        <v>120</v>
      </c>
      <c r="G1" s="39" t="s">
        <v>121</v>
      </c>
      <c r="H1" s="39" t="s">
        <v>122</v>
      </c>
      <c r="I1" s="36" t="s">
        <v>123</v>
      </c>
      <c r="J1" s="37" t="s">
        <v>124</v>
      </c>
      <c r="K1" s="37" t="s">
        <v>125</v>
      </c>
      <c r="L1" s="37" t="s">
        <v>72</v>
      </c>
      <c r="M1" s="37" t="s">
        <v>73</v>
      </c>
      <c r="N1" s="37" t="s">
        <v>74</v>
      </c>
      <c r="O1" s="37" t="s">
        <v>75</v>
      </c>
      <c r="P1" s="37" t="s">
        <v>76</v>
      </c>
      <c r="Q1" s="37" t="s">
        <v>77</v>
      </c>
      <c r="R1" s="37" t="s">
        <v>78</v>
      </c>
      <c r="S1" s="37" t="s">
        <v>79</v>
      </c>
      <c r="T1" s="38" t="s">
        <v>80</v>
      </c>
      <c r="U1" s="36" t="s">
        <v>126</v>
      </c>
      <c r="V1" s="37" t="s">
        <v>127</v>
      </c>
      <c r="W1" s="37" t="s">
        <v>128</v>
      </c>
      <c r="X1" s="38" t="s">
        <v>129</v>
      </c>
      <c r="Y1" s="36" t="s">
        <v>130</v>
      </c>
      <c r="Z1" s="37" t="s">
        <v>131</v>
      </c>
      <c r="AA1" s="37" t="s">
        <v>132</v>
      </c>
      <c r="AB1" s="38" t="s">
        <v>133</v>
      </c>
      <c r="AC1" s="40" t="s">
        <v>134</v>
      </c>
      <c r="AD1" s="41" t="s">
        <v>135</v>
      </c>
      <c r="AE1" s="42" t="s">
        <v>136</v>
      </c>
      <c r="AF1" s="42" t="s">
        <v>137</v>
      </c>
      <c r="AG1" s="42" t="s">
        <v>138</v>
      </c>
      <c r="AH1" s="42" t="s">
        <v>139</v>
      </c>
      <c r="AI1" s="42" t="s">
        <v>140</v>
      </c>
      <c r="AJ1" s="42" t="s">
        <v>141</v>
      </c>
      <c r="AM1" s="42" t="s">
        <v>294</v>
      </c>
    </row>
    <row r="2" spans="1:39">
      <c r="A2" s="20">
        <v>12</v>
      </c>
      <c r="B2" t="s">
        <v>10</v>
      </c>
      <c r="C2" s="22" t="s">
        <v>11</v>
      </c>
      <c r="D2">
        <v>5638</v>
      </c>
      <c r="E2">
        <v>94</v>
      </c>
      <c r="F2" s="43">
        <v>59.978723404255319</v>
      </c>
      <c r="G2">
        <v>200</v>
      </c>
      <c r="H2" s="43">
        <v>0.47</v>
      </c>
      <c r="I2" s="20">
        <v>0.57384760099999998</v>
      </c>
      <c r="J2">
        <v>0.58325493900000003</v>
      </c>
      <c r="K2">
        <v>1</v>
      </c>
      <c r="L2">
        <v>0.92850423299999996</v>
      </c>
      <c r="M2">
        <v>0.66039510800000001</v>
      </c>
      <c r="N2">
        <v>0.54844778900000002</v>
      </c>
      <c r="O2">
        <v>0.57384760099999998</v>
      </c>
      <c r="P2">
        <v>0.53245531499999998</v>
      </c>
      <c r="Q2">
        <v>0.730950141</v>
      </c>
      <c r="R2">
        <v>0.51175917199999998</v>
      </c>
      <c r="S2">
        <v>0.49012229499999999</v>
      </c>
      <c r="T2" s="22">
        <v>0.58325493900000003</v>
      </c>
      <c r="U2" s="20" t="s">
        <v>142</v>
      </c>
      <c r="V2" t="s">
        <v>143</v>
      </c>
      <c r="W2">
        <v>2</v>
      </c>
      <c r="X2" s="22">
        <v>7</v>
      </c>
      <c r="Y2" s="20">
        <v>290700</v>
      </c>
      <c r="Z2">
        <v>0</v>
      </c>
      <c r="AA2">
        <v>83700</v>
      </c>
      <c r="AB2" s="22">
        <v>39600</v>
      </c>
      <c r="AC2" s="20">
        <v>1</v>
      </c>
      <c r="AD2" s="22">
        <v>0.35766423357664234</v>
      </c>
      <c r="AE2">
        <v>0.25780418588151827</v>
      </c>
      <c r="AF2">
        <v>0</v>
      </c>
      <c r="AG2">
        <v>0.25780418588151827</v>
      </c>
      <c r="AH2">
        <v>7.4228449804895347E-2</v>
      </c>
      <c r="AI2">
        <v>3.5118836466832212E-2</v>
      </c>
      <c r="AJ2">
        <v>0.10934728627172756</v>
      </c>
      <c r="AM2">
        <f>D2/200</f>
        <v>28.19</v>
      </c>
    </row>
    <row r="3" spans="1:39">
      <c r="A3" s="20">
        <v>15</v>
      </c>
      <c r="B3" t="s">
        <v>12</v>
      </c>
      <c r="C3" s="22" t="s">
        <v>11</v>
      </c>
      <c r="D3">
        <v>8660</v>
      </c>
      <c r="E3">
        <v>2960</v>
      </c>
      <c r="F3" s="43">
        <v>2.9256756756756759</v>
      </c>
      <c r="G3">
        <v>210</v>
      </c>
      <c r="H3" s="43">
        <v>14.095238095238095</v>
      </c>
      <c r="I3" s="20">
        <f>O3</f>
        <v>0.80382106200000003</v>
      </c>
      <c r="J3">
        <v>0.26607642100000001</v>
      </c>
      <c r="K3">
        <v>1</v>
      </c>
      <c r="L3">
        <v>1.003261883</v>
      </c>
      <c r="M3">
        <v>0.99440820100000005</v>
      </c>
      <c r="N3">
        <v>0.92917055000000004</v>
      </c>
      <c r="O3">
        <v>0.80382106200000003</v>
      </c>
      <c r="P3">
        <v>0</v>
      </c>
      <c r="Q3">
        <v>0.71388629999999997</v>
      </c>
      <c r="R3">
        <v>0.58527492999999997</v>
      </c>
      <c r="S3">
        <v>0.30987884399999999</v>
      </c>
      <c r="T3" s="22">
        <v>0.26607642100000001</v>
      </c>
      <c r="U3" s="20" t="s">
        <v>142</v>
      </c>
      <c r="V3" t="s">
        <v>142</v>
      </c>
      <c r="W3">
        <v>6</v>
      </c>
      <c r="X3" s="22">
        <v>6</v>
      </c>
      <c r="Y3" s="20">
        <v>698400</v>
      </c>
      <c r="Z3">
        <v>13500</v>
      </c>
      <c r="AA3">
        <v>682200</v>
      </c>
      <c r="AB3" s="22">
        <v>900</v>
      </c>
      <c r="AC3" s="20">
        <v>0.96207332490518327</v>
      </c>
      <c r="AD3" s="22">
        <v>0.997364953886693</v>
      </c>
      <c r="AE3">
        <v>0.3840316727152755</v>
      </c>
      <c r="AF3">
        <v>7.4232926426921805E-3</v>
      </c>
      <c r="AG3">
        <v>0.3914549653579677</v>
      </c>
      <c r="AH3">
        <v>0.37512372154404489</v>
      </c>
      <c r="AI3">
        <v>4.9488617617947871E-4</v>
      </c>
      <c r="AJ3">
        <v>0.37561860772022437</v>
      </c>
      <c r="AM3">
        <f t="shared" ref="AM3:AM66" si="0">D3/200</f>
        <v>43.3</v>
      </c>
    </row>
    <row r="4" spans="1:39">
      <c r="A4" s="20">
        <v>42</v>
      </c>
      <c r="B4" t="s">
        <v>10</v>
      </c>
      <c r="C4" s="22" t="s">
        <v>13</v>
      </c>
      <c r="D4">
        <v>2792</v>
      </c>
      <c r="E4">
        <v>150</v>
      </c>
      <c r="F4" s="43">
        <v>18.613333333333333</v>
      </c>
      <c r="G4">
        <v>200</v>
      </c>
      <c r="H4" s="43">
        <v>0.75</v>
      </c>
      <c r="I4" s="20">
        <v>0.4</v>
      </c>
      <c r="K4">
        <v>1</v>
      </c>
      <c r="L4">
        <v>0.83286119000000003</v>
      </c>
      <c r="M4">
        <v>0.59773371099999995</v>
      </c>
      <c r="N4">
        <v>0.56657223800000001</v>
      </c>
      <c r="O4">
        <v>0.45</v>
      </c>
      <c r="P4">
        <v>0.34844192600000001</v>
      </c>
      <c r="T4" s="22"/>
      <c r="U4" s="20" t="s">
        <v>142</v>
      </c>
      <c r="V4" t="s">
        <v>142</v>
      </c>
      <c r="W4">
        <v>1</v>
      </c>
      <c r="X4" s="22">
        <v>2</v>
      </c>
      <c r="Y4" s="20">
        <v>183600</v>
      </c>
      <c r="Z4">
        <v>7200</v>
      </c>
      <c r="AA4">
        <v>213300</v>
      </c>
      <c r="AB4" s="22">
        <v>0</v>
      </c>
      <c r="AC4" s="20">
        <v>0.92452830188679247</v>
      </c>
      <c r="AD4" s="22">
        <v>1</v>
      </c>
      <c r="AE4">
        <v>0.32879656160458454</v>
      </c>
      <c r="AF4">
        <v>1.2893982808022923E-2</v>
      </c>
      <c r="AG4">
        <v>0.34169054441260743</v>
      </c>
      <c r="AH4">
        <v>0.38198424068767911</v>
      </c>
      <c r="AI4">
        <v>0</v>
      </c>
      <c r="AJ4">
        <v>0.38198424068767911</v>
      </c>
      <c r="AM4">
        <f t="shared" si="0"/>
        <v>13.96</v>
      </c>
    </row>
    <row r="5" spans="1:39">
      <c r="A5" s="20">
        <v>44</v>
      </c>
      <c r="B5" t="s">
        <v>12</v>
      </c>
      <c r="C5" s="22" t="s">
        <v>13</v>
      </c>
      <c r="D5">
        <v>5192</v>
      </c>
      <c r="E5">
        <v>245</v>
      </c>
      <c r="F5" s="43">
        <v>21.191836734693876</v>
      </c>
      <c r="G5">
        <v>200</v>
      </c>
      <c r="H5" s="43">
        <v>1.2250000000000001</v>
      </c>
      <c r="I5" s="20">
        <v>0.129746835</v>
      </c>
      <c r="K5">
        <v>1</v>
      </c>
      <c r="L5">
        <v>0.46202531600000002</v>
      </c>
      <c r="M5">
        <v>0.40981012700000002</v>
      </c>
      <c r="N5">
        <v>0.57753164599999995</v>
      </c>
      <c r="O5">
        <v>0.129746835</v>
      </c>
      <c r="P5">
        <v>0.142405063</v>
      </c>
      <c r="T5" s="22"/>
      <c r="U5" s="20" t="s">
        <v>142</v>
      </c>
      <c r="V5" t="s">
        <v>142</v>
      </c>
      <c r="W5">
        <v>3</v>
      </c>
      <c r="X5" s="22">
        <v>3</v>
      </c>
      <c r="Y5" s="20">
        <v>279900</v>
      </c>
      <c r="Z5">
        <v>0</v>
      </c>
      <c r="AA5">
        <v>216000</v>
      </c>
      <c r="AB5" s="22">
        <v>0</v>
      </c>
      <c r="AC5" s="20">
        <v>1</v>
      </c>
      <c r="AD5" s="22">
        <v>1</v>
      </c>
      <c r="AE5">
        <v>0.2695493066255778</v>
      </c>
      <c r="AF5">
        <v>0</v>
      </c>
      <c r="AG5">
        <v>0.2695493066255778</v>
      </c>
      <c r="AH5">
        <v>0.20801232665639446</v>
      </c>
      <c r="AI5">
        <v>0</v>
      </c>
      <c r="AJ5">
        <v>0.20801232665639446</v>
      </c>
      <c r="AM5">
        <f t="shared" si="0"/>
        <v>25.96</v>
      </c>
    </row>
    <row r="6" spans="1:39">
      <c r="A6" s="20">
        <v>45</v>
      </c>
      <c r="B6" t="s">
        <v>10</v>
      </c>
      <c r="C6" s="22" t="s">
        <v>13</v>
      </c>
      <c r="D6">
        <v>3150</v>
      </c>
      <c r="E6">
        <v>60</v>
      </c>
      <c r="F6" s="43">
        <v>52.5</v>
      </c>
      <c r="G6">
        <v>200</v>
      </c>
      <c r="H6" s="43">
        <v>0.3</v>
      </c>
      <c r="I6" s="20">
        <v>0.50281425899999999</v>
      </c>
      <c r="K6">
        <v>1</v>
      </c>
      <c r="L6">
        <v>0.45403377099999997</v>
      </c>
      <c r="M6">
        <v>0.54221388400000003</v>
      </c>
      <c r="N6">
        <v>0.43714821799999998</v>
      </c>
      <c r="O6">
        <v>0.50281425899999999</v>
      </c>
      <c r="P6">
        <v>0.470919325</v>
      </c>
      <c r="Q6">
        <v>0.44090056300000002</v>
      </c>
      <c r="R6">
        <v>0.31707317099999999</v>
      </c>
      <c r="S6">
        <v>0.29643527200000003</v>
      </c>
      <c r="T6" s="22"/>
      <c r="U6" s="20" t="s">
        <v>142</v>
      </c>
      <c r="V6" t="s">
        <v>142</v>
      </c>
      <c r="W6">
        <v>1</v>
      </c>
      <c r="X6" s="22">
        <v>1</v>
      </c>
      <c r="Y6" s="20">
        <v>100800</v>
      </c>
      <c r="Z6">
        <v>13500</v>
      </c>
      <c r="AA6">
        <v>144000</v>
      </c>
      <c r="AB6" s="22">
        <v>1800</v>
      </c>
      <c r="AC6" s="20">
        <v>0.76377952755905509</v>
      </c>
      <c r="AD6" s="22">
        <v>0.97530864197530864</v>
      </c>
      <c r="AE6">
        <v>0.16</v>
      </c>
      <c r="AF6">
        <v>2.1428571428571429E-2</v>
      </c>
      <c r="AG6">
        <v>0.18142857142857144</v>
      </c>
      <c r="AH6">
        <v>0.22857142857142856</v>
      </c>
      <c r="AI6">
        <v>2.8571428571428571E-3</v>
      </c>
      <c r="AJ6">
        <v>0.23142857142857143</v>
      </c>
      <c r="AM6">
        <f t="shared" si="0"/>
        <v>15.75</v>
      </c>
    </row>
    <row r="7" spans="1:39">
      <c r="A7" s="20">
        <v>48</v>
      </c>
      <c r="B7" t="s">
        <v>10</v>
      </c>
      <c r="C7" s="22" t="s">
        <v>13</v>
      </c>
      <c r="D7">
        <v>4510</v>
      </c>
      <c r="E7">
        <v>55</v>
      </c>
      <c r="F7" s="43">
        <v>82</v>
      </c>
      <c r="G7">
        <v>200</v>
      </c>
      <c r="H7" s="43">
        <v>0.27500000000000002</v>
      </c>
      <c r="I7" s="20">
        <v>0.55346700000000004</v>
      </c>
      <c r="K7">
        <v>1</v>
      </c>
      <c r="L7">
        <v>0.90716803800000001</v>
      </c>
      <c r="M7">
        <v>0.82608695700000001</v>
      </c>
      <c r="N7">
        <v>0.55346651000000002</v>
      </c>
      <c r="T7" s="22"/>
      <c r="U7" s="20" t="s">
        <v>143</v>
      </c>
      <c r="V7" t="s">
        <v>142</v>
      </c>
      <c r="W7">
        <v>2</v>
      </c>
      <c r="X7" s="22">
        <v>2</v>
      </c>
      <c r="Y7" s="20">
        <v>31500</v>
      </c>
      <c r="Z7">
        <v>100800</v>
      </c>
      <c r="AA7">
        <v>98100</v>
      </c>
      <c r="AB7" s="22">
        <v>19800</v>
      </c>
      <c r="AC7" s="20">
        <v>-0.52380952380952384</v>
      </c>
      <c r="AD7" s="22">
        <v>0.66412213740458015</v>
      </c>
      <c r="AE7">
        <v>3.4922394678492237E-2</v>
      </c>
      <c r="AF7">
        <v>0.11175166297117517</v>
      </c>
      <c r="AG7">
        <v>0.1466740576496674</v>
      </c>
      <c r="AH7">
        <v>0.10875831485587584</v>
      </c>
      <c r="AI7">
        <v>2.1951219512195121E-2</v>
      </c>
      <c r="AJ7">
        <v>0.13070953436807095</v>
      </c>
      <c r="AM7">
        <f t="shared" si="0"/>
        <v>22.55</v>
      </c>
    </row>
    <row r="8" spans="1:39">
      <c r="A8" s="20">
        <v>52</v>
      </c>
      <c r="B8" t="s">
        <v>10</v>
      </c>
      <c r="C8" s="22" t="s">
        <v>13</v>
      </c>
      <c r="D8">
        <v>2115</v>
      </c>
      <c r="E8">
        <v>206</v>
      </c>
      <c r="F8" s="43">
        <v>10.266990291262136</v>
      </c>
      <c r="G8">
        <v>200</v>
      </c>
      <c r="H8" s="43">
        <v>1.03</v>
      </c>
      <c r="I8" s="20">
        <v>0.95661605199999999</v>
      </c>
      <c r="J8">
        <v>0.71149674600000001</v>
      </c>
      <c r="K8">
        <v>1</v>
      </c>
      <c r="L8">
        <v>0.253796095</v>
      </c>
      <c r="M8">
        <v>0.50325379599999998</v>
      </c>
      <c r="N8">
        <v>0.64208242999999998</v>
      </c>
      <c r="O8">
        <v>0.95661605199999999</v>
      </c>
      <c r="P8">
        <v>0.96529284199999998</v>
      </c>
      <c r="Q8">
        <v>0.93275488100000004</v>
      </c>
      <c r="R8">
        <v>0.85900216900000004</v>
      </c>
      <c r="S8">
        <v>0.90889370899999999</v>
      </c>
      <c r="T8" s="22">
        <v>0.71149674600000001</v>
      </c>
      <c r="U8" s="20" t="s">
        <v>143</v>
      </c>
      <c r="V8" t="s">
        <v>142</v>
      </c>
      <c r="W8">
        <v>1</v>
      </c>
      <c r="X8" s="22">
        <v>1</v>
      </c>
      <c r="Y8" s="20">
        <v>81900</v>
      </c>
      <c r="Z8">
        <v>91800</v>
      </c>
      <c r="AA8">
        <v>84600</v>
      </c>
      <c r="AB8" s="22">
        <v>0</v>
      </c>
      <c r="AC8" s="20">
        <v>-5.6994818652849742E-2</v>
      </c>
      <c r="AD8" s="22">
        <v>1</v>
      </c>
      <c r="AE8">
        <v>0.19361702127659575</v>
      </c>
      <c r="AF8">
        <v>0.21702127659574469</v>
      </c>
      <c r="AG8">
        <v>0.41063829787234041</v>
      </c>
      <c r="AH8">
        <v>0.2</v>
      </c>
      <c r="AI8">
        <v>0</v>
      </c>
      <c r="AJ8">
        <v>0.2</v>
      </c>
      <c r="AM8">
        <f t="shared" si="0"/>
        <v>10.574999999999999</v>
      </c>
    </row>
    <row r="9" spans="1:39">
      <c r="A9" s="20">
        <v>54</v>
      </c>
      <c r="B9" t="s">
        <v>10</v>
      </c>
      <c r="C9" s="22" t="s">
        <v>13</v>
      </c>
      <c r="D9">
        <v>3258</v>
      </c>
      <c r="E9">
        <v>30</v>
      </c>
      <c r="F9" s="43">
        <v>108.6</v>
      </c>
      <c r="G9">
        <v>200</v>
      </c>
      <c r="H9" s="43">
        <v>0.15</v>
      </c>
      <c r="I9" s="20">
        <v>0.91650099399999996</v>
      </c>
      <c r="K9">
        <v>1</v>
      </c>
      <c r="L9">
        <v>0.89860834999999994</v>
      </c>
      <c r="M9">
        <v>0.92246520899999995</v>
      </c>
      <c r="N9">
        <v>0.93638171000000003</v>
      </c>
      <c r="O9">
        <v>0.91650099399999996</v>
      </c>
      <c r="T9" s="22"/>
      <c r="U9" s="20" t="s">
        <v>143</v>
      </c>
      <c r="V9" t="s">
        <v>142</v>
      </c>
      <c r="W9">
        <v>2</v>
      </c>
      <c r="X9" s="22">
        <v>2</v>
      </c>
      <c r="Y9" s="20">
        <v>189900</v>
      </c>
      <c r="Z9">
        <v>85500</v>
      </c>
      <c r="AA9">
        <v>46800</v>
      </c>
      <c r="AB9" s="22">
        <v>20700</v>
      </c>
      <c r="AC9" s="20">
        <v>0.37908496732026142</v>
      </c>
      <c r="AD9" s="22">
        <v>0.38666666666666666</v>
      </c>
      <c r="AE9">
        <v>0.2914364640883978</v>
      </c>
      <c r="AF9">
        <v>0.13121546961325967</v>
      </c>
      <c r="AG9">
        <v>0.42265193370165743</v>
      </c>
      <c r="AH9">
        <v>7.18232044198895E-2</v>
      </c>
      <c r="AI9">
        <v>3.1767955801104975E-2</v>
      </c>
      <c r="AJ9">
        <v>0.10359116022099447</v>
      </c>
      <c r="AM9">
        <f t="shared" si="0"/>
        <v>16.29</v>
      </c>
    </row>
    <row r="10" spans="1:39">
      <c r="A10" s="20">
        <v>56</v>
      </c>
      <c r="B10" t="s">
        <v>10</v>
      </c>
      <c r="C10" s="22" t="s">
        <v>13</v>
      </c>
      <c r="D10">
        <v>2810</v>
      </c>
      <c r="E10">
        <v>30</v>
      </c>
      <c r="F10" s="43">
        <v>93.666666666666671</v>
      </c>
      <c r="G10">
        <v>200</v>
      </c>
      <c r="H10" s="43">
        <v>0.15</v>
      </c>
      <c r="I10" s="20">
        <v>0.53558718900000002</v>
      </c>
      <c r="K10">
        <v>1</v>
      </c>
      <c r="L10">
        <v>0.54270462600000002</v>
      </c>
      <c r="M10">
        <v>0.73487544500000002</v>
      </c>
      <c r="N10">
        <v>0.68327402100000001</v>
      </c>
      <c r="O10">
        <v>0.53558718900000002</v>
      </c>
      <c r="P10">
        <v>0.45551601400000002</v>
      </c>
      <c r="Q10">
        <v>0.323843416</v>
      </c>
      <c r="R10">
        <v>0.20462633499999999</v>
      </c>
      <c r="S10">
        <v>0.12633452000000001</v>
      </c>
      <c r="T10" s="22"/>
      <c r="U10" s="20" t="s">
        <v>143</v>
      </c>
      <c r="V10" t="s">
        <v>143</v>
      </c>
      <c r="W10">
        <v>2</v>
      </c>
      <c r="X10" s="22">
        <v>2</v>
      </c>
      <c r="Y10" s="20">
        <v>117900</v>
      </c>
      <c r="Z10">
        <v>90000</v>
      </c>
      <c r="AA10">
        <v>107100</v>
      </c>
      <c r="AB10" s="22">
        <v>79200</v>
      </c>
      <c r="AC10" s="20">
        <v>0.13419913419913421</v>
      </c>
      <c r="AD10" s="22">
        <v>0.14975845410628019</v>
      </c>
      <c r="AE10">
        <v>0.20978647686832741</v>
      </c>
      <c r="AF10">
        <v>0.16014234875444841</v>
      </c>
      <c r="AG10">
        <v>0.36992882562277585</v>
      </c>
      <c r="AH10">
        <v>0.1905693950177936</v>
      </c>
      <c r="AI10">
        <v>0.1409252669039146</v>
      </c>
      <c r="AJ10">
        <v>0.33149466192170818</v>
      </c>
      <c r="AM10">
        <f t="shared" si="0"/>
        <v>14.05</v>
      </c>
    </row>
    <row r="11" spans="1:39">
      <c r="A11" s="20">
        <v>76</v>
      </c>
      <c r="B11" t="s">
        <v>12</v>
      </c>
      <c r="C11" s="22" t="s">
        <v>15</v>
      </c>
      <c r="D11">
        <v>2368</v>
      </c>
      <c r="E11">
        <v>606</v>
      </c>
      <c r="F11" s="43">
        <v>3.9075907590759078</v>
      </c>
      <c r="G11">
        <v>200</v>
      </c>
      <c r="H11" s="43">
        <v>3.03</v>
      </c>
      <c r="I11" s="20">
        <v>0.19303999999999999</v>
      </c>
      <c r="J11">
        <v>0.11391999999999999</v>
      </c>
      <c r="K11">
        <v>1</v>
      </c>
      <c r="L11">
        <v>0.68037999999999998</v>
      </c>
      <c r="M11">
        <v>0.43986999999999998</v>
      </c>
      <c r="N11">
        <v>0.27215</v>
      </c>
      <c r="O11">
        <v>0.19303999999999999</v>
      </c>
      <c r="P11">
        <v>0.13924</v>
      </c>
      <c r="Q11">
        <v>0.16772000000000001</v>
      </c>
      <c r="R11">
        <v>0.13924</v>
      </c>
      <c r="S11">
        <v>0.19936999999999999</v>
      </c>
      <c r="T11" s="22">
        <v>0.11391999999999999</v>
      </c>
      <c r="U11" s="20" t="s">
        <v>142</v>
      </c>
      <c r="V11" t="s">
        <v>142</v>
      </c>
      <c r="W11">
        <v>3</v>
      </c>
      <c r="X11" s="22">
        <v>5</v>
      </c>
      <c r="Y11" s="20">
        <v>136800</v>
      </c>
      <c r="Z11">
        <v>4500</v>
      </c>
      <c r="AA11">
        <v>97200</v>
      </c>
      <c r="AB11" s="22">
        <v>0</v>
      </c>
      <c r="AC11" s="20">
        <v>0.93630573248407645</v>
      </c>
      <c r="AD11" s="22">
        <v>1</v>
      </c>
      <c r="AE11">
        <v>0.28885135135135137</v>
      </c>
      <c r="AF11">
        <v>9.5016891891891893E-3</v>
      </c>
      <c r="AG11">
        <v>0.29835304054054057</v>
      </c>
      <c r="AH11">
        <v>0.20523648648648649</v>
      </c>
      <c r="AI11">
        <v>0</v>
      </c>
      <c r="AJ11">
        <v>0.20523648648648649</v>
      </c>
      <c r="AM11">
        <f t="shared" si="0"/>
        <v>11.84</v>
      </c>
    </row>
    <row r="12" spans="1:39">
      <c r="A12" s="20">
        <v>87</v>
      </c>
      <c r="B12" t="s">
        <v>10</v>
      </c>
      <c r="C12" s="22" t="s">
        <v>16</v>
      </c>
      <c r="D12">
        <v>3900</v>
      </c>
      <c r="E12">
        <v>30</v>
      </c>
      <c r="F12" s="43">
        <f>D12/E12</f>
        <v>130</v>
      </c>
      <c r="G12">
        <v>200</v>
      </c>
      <c r="H12" s="43">
        <f>E12/G12</f>
        <v>0.15</v>
      </c>
      <c r="I12" s="20">
        <v>0.99180327899999998</v>
      </c>
      <c r="J12">
        <v>0.91803278700000002</v>
      </c>
      <c r="K12">
        <v>1</v>
      </c>
      <c r="L12">
        <v>1.0040983610000001</v>
      </c>
      <c r="M12">
        <v>1.0122950820000001</v>
      </c>
      <c r="N12">
        <v>0.97131147500000004</v>
      </c>
      <c r="O12">
        <v>0.99180327899999998</v>
      </c>
      <c r="P12">
        <v>1.0122950820000001</v>
      </c>
      <c r="Q12">
        <v>1.0204918030000001</v>
      </c>
      <c r="R12">
        <v>0.86475409800000003</v>
      </c>
      <c r="S12">
        <v>1.008196721</v>
      </c>
      <c r="T12" s="22">
        <v>0.91803278700000002</v>
      </c>
      <c r="U12" s="20" t="s">
        <v>144</v>
      </c>
      <c r="V12" t="s">
        <v>144</v>
      </c>
      <c r="X12" s="22"/>
      <c r="Y12" s="20">
        <v>0</v>
      </c>
      <c r="Z12">
        <v>0</v>
      </c>
      <c r="AA12">
        <v>0</v>
      </c>
      <c r="AB12" s="22">
        <v>0</v>
      </c>
      <c r="AC12" s="20" t="s">
        <v>145</v>
      </c>
      <c r="AD12" s="22" t="s">
        <v>145</v>
      </c>
      <c r="AM12">
        <f t="shared" si="0"/>
        <v>19.5</v>
      </c>
    </row>
    <row r="13" spans="1:39">
      <c r="A13" s="20">
        <v>114</v>
      </c>
      <c r="B13" t="s">
        <v>12</v>
      </c>
      <c r="C13" s="22" t="s">
        <v>17</v>
      </c>
      <c r="D13">
        <v>3403</v>
      </c>
      <c r="E13">
        <v>1175</v>
      </c>
      <c r="F13" s="43">
        <v>2.8961702127659574</v>
      </c>
      <c r="G13">
        <v>200</v>
      </c>
      <c r="H13" s="43">
        <v>5.875</v>
      </c>
      <c r="I13" s="20">
        <v>0.84</v>
      </c>
      <c r="J13">
        <v>0.87466666699999995</v>
      </c>
      <c r="K13">
        <v>1</v>
      </c>
      <c r="L13">
        <v>0.83199999999999996</v>
      </c>
      <c r="M13">
        <v>0.83066666700000003</v>
      </c>
      <c r="N13">
        <v>0.75866666699999996</v>
      </c>
      <c r="O13">
        <v>0.84</v>
      </c>
      <c r="P13">
        <v>0.83599999999999997</v>
      </c>
      <c r="Q13">
        <v>0.88666666699999996</v>
      </c>
      <c r="R13">
        <v>0.81066666700000001</v>
      </c>
      <c r="S13">
        <v>0.66533333299999997</v>
      </c>
      <c r="T13" s="22">
        <v>0.87466666699999995</v>
      </c>
      <c r="U13" s="20" t="s">
        <v>142</v>
      </c>
      <c r="V13" t="s">
        <v>142</v>
      </c>
      <c r="W13">
        <v>1</v>
      </c>
      <c r="X13" s="22">
        <v>2</v>
      </c>
      <c r="Y13" s="20">
        <v>81000</v>
      </c>
      <c r="Z13">
        <v>7200</v>
      </c>
      <c r="AA13">
        <v>63000</v>
      </c>
      <c r="AB13" s="22">
        <v>8100</v>
      </c>
      <c r="AC13" s="20">
        <v>0.83673469387755106</v>
      </c>
      <c r="AD13" s="22">
        <v>0.77215189873417722</v>
      </c>
      <c r="AE13">
        <v>0.11901263590949163</v>
      </c>
      <c r="AF13">
        <v>1.0578900969732588E-2</v>
      </c>
      <c r="AG13">
        <v>0.1295915368792242</v>
      </c>
      <c r="AH13">
        <v>9.2565383485160149E-2</v>
      </c>
      <c r="AI13">
        <v>1.1901263590949163E-2</v>
      </c>
      <c r="AJ13">
        <v>0.10446664707610931</v>
      </c>
      <c r="AM13">
        <f t="shared" si="0"/>
        <v>17.015000000000001</v>
      </c>
    </row>
    <row r="14" spans="1:39">
      <c r="A14" s="20">
        <v>128</v>
      </c>
      <c r="B14" t="s">
        <v>12</v>
      </c>
      <c r="C14" s="22" t="s">
        <v>17</v>
      </c>
      <c r="D14">
        <v>5700</v>
      </c>
      <c r="E14">
        <v>2323</v>
      </c>
      <c r="F14" s="43">
        <v>2.4537236332328884</v>
      </c>
      <c r="G14">
        <v>200</v>
      </c>
      <c r="H14" s="43">
        <v>11.615</v>
      </c>
      <c r="I14" s="20">
        <v>0.16747000000000001</v>
      </c>
      <c r="J14">
        <v>0.13205</v>
      </c>
      <c r="K14">
        <v>1</v>
      </c>
      <c r="L14">
        <v>0.53461999999999998</v>
      </c>
      <c r="M14">
        <v>0.29791000000000001</v>
      </c>
      <c r="N14">
        <v>0.19001999999999999</v>
      </c>
      <c r="O14">
        <v>0.16747000000000001</v>
      </c>
      <c r="P14">
        <v>0.219</v>
      </c>
      <c r="Q14">
        <v>0.34300000000000003</v>
      </c>
      <c r="R14">
        <v>7.8899999999999998E-2</v>
      </c>
      <c r="S14">
        <v>9.9839999999999998E-2</v>
      </c>
      <c r="T14" s="22">
        <v>0.13205</v>
      </c>
      <c r="U14" s="20" t="s">
        <v>142</v>
      </c>
      <c r="V14" t="s">
        <v>142</v>
      </c>
      <c r="W14">
        <v>1</v>
      </c>
      <c r="X14" s="22">
        <v>1</v>
      </c>
      <c r="Y14" s="20">
        <v>242100</v>
      </c>
      <c r="Z14">
        <v>10800</v>
      </c>
      <c r="AA14">
        <v>186300</v>
      </c>
      <c r="AB14" s="22">
        <v>900</v>
      </c>
      <c r="AC14" s="20">
        <v>0.91459074733096091</v>
      </c>
      <c r="AD14" s="22">
        <v>0.99038461538461542</v>
      </c>
      <c r="AE14">
        <v>0.21236842105263157</v>
      </c>
      <c r="AF14">
        <v>9.4736842105263164E-3</v>
      </c>
      <c r="AG14">
        <v>0.2218421052631579</v>
      </c>
      <c r="AH14">
        <v>0.16342105263157894</v>
      </c>
      <c r="AI14">
        <v>7.894736842105263E-4</v>
      </c>
      <c r="AJ14">
        <v>0.16421052631578947</v>
      </c>
      <c r="AM14">
        <f t="shared" si="0"/>
        <v>28.5</v>
      </c>
    </row>
    <row r="15" spans="1:39">
      <c r="A15" s="20">
        <v>129</v>
      </c>
      <c r="B15" t="s">
        <v>12</v>
      </c>
      <c r="C15" s="22" t="s">
        <v>20</v>
      </c>
      <c r="D15">
        <v>3550</v>
      </c>
      <c r="E15">
        <v>565</v>
      </c>
      <c r="F15" s="43">
        <v>6.283185840707965</v>
      </c>
      <c r="G15">
        <v>260</v>
      </c>
      <c r="H15" s="43">
        <v>2.1730769230769229</v>
      </c>
      <c r="I15" s="20">
        <v>0.26163999999999998</v>
      </c>
      <c r="J15">
        <v>0.14191000000000001</v>
      </c>
      <c r="K15">
        <v>1</v>
      </c>
      <c r="L15">
        <v>0.29601</v>
      </c>
      <c r="M15">
        <v>0.32040000000000002</v>
      </c>
      <c r="N15">
        <v>0.19733999999999999</v>
      </c>
      <c r="O15">
        <v>0.26163999999999998</v>
      </c>
      <c r="P15">
        <v>0.34034999999999999</v>
      </c>
      <c r="Q15">
        <v>0.25830999999999998</v>
      </c>
      <c r="R15">
        <v>0.18736</v>
      </c>
      <c r="S15">
        <v>0.26274999999999998</v>
      </c>
      <c r="T15" s="22">
        <v>0.14191000000000001</v>
      </c>
      <c r="U15" s="20" t="s">
        <v>143</v>
      </c>
      <c r="V15" t="s">
        <v>142</v>
      </c>
      <c r="W15">
        <v>1</v>
      </c>
      <c r="X15" s="22">
        <v>1</v>
      </c>
      <c r="Y15" s="20">
        <v>361800</v>
      </c>
      <c r="Z15">
        <v>27900</v>
      </c>
      <c r="AA15">
        <v>197100</v>
      </c>
      <c r="AB15" s="22">
        <v>4500</v>
      </c>
      <c r="AC15" s="20">
        <v>0.85681293302540418</v>
      </c>
      <c r="AD15" s="22">
        <v>0.9553571428571429</v>
      </c>
      <c r="AE15">
        <v>0.39198266522210184</v>
      </c>
      <c r="AF15">
        <v>3.0227518959913328E-2</v>
      </c>
      <c r="AG15">
        <v>0.42221018418201517</v>
      </c>
      <c r="AH15">
        <v>0.21354279523293607</v>
      </c>
      <c r="AI15">
        <v>4.8754062838569879E-3</v>
      </c>
      <c r="AJ15">
        <v>0.21841820151679306</v>
      </c>
      <c r="AM15">
        <f t="shared" si="0"/>
        <v>17.75</v>
      </c>
    </row>
    <row r="16" spans="1:39">
      <c r="A16" s="20">
        <v>137</v>
      </c>
      <c r="B16" t="s">
        <v>10</v>
      </c>
      <c r="C16" s="22" t="s">
        <v>16</v>
      </c>
      <c r="D16">
        <v>3015</v>
      </c>
      <c r="E16">
        <v>30</v>
      </c>
      <c r="F16" s="43">
        <v>100.5</v>
      </c>
      <c r="G16">
        <v>200</v>
      </c>
      <c r="H16" s="43">
        <v>0.15</v>
      </c>
      <c r="I16" s="20">
        <v>1.0165484629999999</v>
      </c>
      <c r="K16">
        <v>1</v>
      </c>
      <c r="L16">
        <v>0.98108746999999996</v>
      </c>
      <c r="M16">
        <v>0.96453900699999995</v>
      </c>
      <c r="N16">
        <v>0.93853427899999997</v>
      </c>
      <c r="O16">
        <v>1.0165484629999999</v>
      </c>
      <c r="P16">
        <v>1.0023640659999999</v>
      </c>
      <c r="Q16">
        <v>0.93380614699999998</v>
      </c>
      <c r="R16">
        <v>0.97399527200000002</v>
      </c>
      <c r="T16" s="22"/>
      <c r="U16" s="20" t="s">
        <v>144</v>
      </c>
      <c r="V16" t="s">
        <v>144</v>
      </c>
      <c r="X16" s="22"/>
      <c r="Y16" s="20">
        <v>0</v>
      </c>
      <c r="Z16">
        <v>0</v>
      </c>
      <c r="AA16">
        <v>0</v>
      </c>
      <c r="AB16" s="22">
        <v>0</v>
      </c>
      <c r="AC16" s="20" t="s">
        <v>145</v>
      </c>
      <c r="AD16" s="22" t="s">
        <v>145</v>
      </c>
      <c r="AI16">
        <v>0</v>
      </c>
      <c r="AJ16">
        <v>0</v>
      </c>
      <c r="AM16">
        <f t="shared" si="0"/>
        <v>15.074999999999999</v>
      </c>
    </row>
    <row r="17" spans="1:39">
      <c r="A17" s="20">
        <v>160</v>
      </c>
      <c r="B17" t="s">
        <v>12</v>
      </c>
      <c r="C17" s="22" t="s">
        <v>22</v>
      </c>
      <c r="D17">
        <v>17460</v>
      </c>
      <c r="E17">
        <v>10910</v>
      </c>
      <c r="F17" s="43">
        <v>1.6003666361136573</v>
      </c>
      <c r="G17">
        <v>600</v>
      </c>
      <c r="H17" s="43">
        <v>18.183333333333334</v>
      </c>
      <c r="I17" s="20">
        <v>0.27688000000000001</v>
      </c>
      <c r="J17">
        <v>5.3469999999999997E-2</v>
      </c>
      <c r="K17">
        <v>1</v>
      </c>
      <c r="L17">
        <v>0.75739000000000001</v>
      </c>
      <c r="M17">
        <v>0.51805999999999996</v>
      </c>
      <c r="N17">
        <v>0.32366</v>
      </c>
      <c r="O17">
        <v>0.27688000000000001</v>
      </c>
      <c r="P17">
        <v>0.27345999999999998</v>
      </c>
      <c r="Q17">
        <v>0.16708999999999999</v>
      </c>
      <c r="R17">
        <v>9.443E-2</v>
      </c>
      <c r="S17">
        <v>7.6219999999999996E-2</v>
      </c>
      <c r="T17" s="22">
        <v>5.3469999999999997E-2</v>
      </c>
      <c r="U17" s="20" t="s">
        <v>142</v>
      </c>
      <c r="V17" t="s">
        <v>142</v>
      </c>
      <c r="W17">
        <v>2</v>
      </c>
      <c r="X17" s="22">
        <v>3</v>
      </c>
      <c r="Y17" s="20">
        <v>2791800</v>
      </c>
      <c r="Z17">
        <v>209700</v>
      </c>
      <c r="AA17">
        <v>2162700</v>
      </c>
      <c r="AB17" s="22">
        <v>1800</v>
      </c>
      <c r="AC17" s="20">
        <v>0.86026986506746628</v>
      </c>
      <c r="AD17" s="22">
        <v>0.99833679833679834</v>
      </c>
      <c r="AE17">
        <v>0.26649484536082474</v>
      </c>
      <c r="AF17">
        <v>2.0017182130584191E-2</v>
      </c>
      <c r="AG17">
        <v>0.28651202749140892</v>
      </c>
      <c r="AH17">
        <v>0.20644329896907215</v>
      </c>
      <c r="AI17">
        <v>1.7182130584192441E-4</v>
      </c>
      <c r="AJ17">
        <v>0.20661512027491408</v>
      </c>
      <c r="AM17">
        <f t="shared" si="0"/>
        <v>87.3</v>
      </c>
    </row>
    <row r="18" spans="1:39">
      <c r="A18" s="20">
        <v>163</v>
      </c>
      <c r="B18" t="s">
        <v>10</v>
      </c>
      <c r="C18" s="22" t="s">
        <v>23</v>
      </c>
      <c r="D18">
        <v>1740</v>
      </c>
      <c r="E18">
        <v>60</v>
      </c>
      <c r="F18" s="43">
        <v>29</v>
      </c>
      <c r="G18">
        <v>240</v>
      </c>
      <c r="H18" s="43">
        <v>0.25</v>
      </c>
      <c r="I18" s="20">
        <v>0.45695364199999999</v>
      </c>
      <c r="J18">
        <v>0.63576158900000002</v>
      </c>
      <c r="K18">
        <v>1</v>
      </c>
      <c r="L18">
        <v>0.59602648999999996</v>
      </c>
      <c r="M18">
        <v>0.96688741700000003</v>
      </c>
      <c r="N18">
        <v>0.82781457000000003</v>
      </c>
      <c r="O18">
        <v>0.45695364199999999</v>
      </c>
      <c r="P18">
        <v>0.49006622500000002</v>
      </c>
      <c r="Q18">
        <v>0.45033112600000003</v>
      </c>
      <c r="R18">
        <v>0.43046357600000001</v>
      </c>
      <c r="S18">
        <v>0.58278145699999995</v>
      </c>
      <c r="T18" s="22">
        <v>0.63576158900000002</v>
      </c>
      <c r="U18" s="20" t="s">
        <v>142</v>
      </c>
      <c r="V18" t="s">
        <v>142</v>
      </c>
      <c r="W18">
        <v>1</v>
      </c>
      <c r="X18" s="22">
        <v>2</v>
      </c>
      <c r="Y18" s="20">
        <v>54900</v>
      </c>
      <c r="Z18">
        <v>1800</v>
      </c>
      <c r="AA18">
        <v>38700</v>
      </c>
      <c r="AB18" s="22">
        <v>0</v>
      </c>
      <c r="AC18" s="20">
        <v>0.93650793650793651</v>
      </c>
      <c r="AD18" s="22">
        <v>1</v>
      </c>
      <c r="AE18">
        <v>0.13146551724137931</v>
      </c>
      <c r="AF18">
        <v>4.3103448275862068E-3</v>
      </c>
      <c r="AG18">
        <v>0.13577586206896552</v>
      </c>
      <c r="AH18">
        <v>9.2672413793103453E-2</v>
      </c>
      <c r="AI18">
        <v>0</v>
      </c>
      <c r="AJ18">
        <v>9.2672413793103453E-2</v>
      </c>
      <c r="AM18">
        <f t="shared" si="0"/>
        <v>8.6999999999999993</v>
      </c>
    </row>
    <row r="19" spans="1:39">
      <c r="A19" s="20">
        <v>164</v>
      </c>
      <c r="B19" t="s">
        <v>10</v>
      </c>
      <c r="C19" s="22" t="s">
        <v>23</v>
      </c>
      <c r="D19">
        <v>8540</v>
      </c>
      <c r="E19">
        <v>50</v>
      </c>
      <c r="F19" s="43">
        <v>170.8</v>
      </c>
      <c r="G19">
        <v>200</v>
      </c>
      <c r="H19" s="43">
        <v>0.25</v>
      </c>
      <c r="I19" s="20">
        <v>0.27787000000000001</v>
      </c>
      <c r="K19">
        <v>1</v>
      </c>
      <c r="L19">
        <v>0.56947000000000003</v>
      </c>
      <c r="M19">
        <v>0.46311999999999998</v>
      </c>
      <c r="N19">
        <v>0.25901000000000002</v>
      </c>
      <c r="O19">
        <v>0.27787000000000001</v>
      </c>
      <c r="P19">
        <v>2.0580000000000001E-2</v>
      </c>
      <c r="Q19">
        <v>3.0870000000000002E-2</v>
      </c>
      <c r="R19">
        <v>3.4299999999999999E-3</v>
      </c>
      <c r="S19">
        <v>3.4299999999999999E-3</v>
      </c>
      <c r="T19" s="22">
        <v>0</v>
      </c>
      <c r="U19" s="20" t="s">
        <v>146</v>
      </c>
      <c r="V19" t="s">
        <v>142</v>
      </c>
      <c r="W19">
        <v>1</v>
      </c>
      <c r="X19" s="22">
        <v>5</v>
      </c>
      <c r="Y19" s="20">
        <v>243900</v>
      </c>
      <c r="Z19">
        <v>36000</v>
      </c>
      <c r="AA19">
        <v>423900</v>
      </c>
      <c r="AB19" s="22">
        <v>25200</v>
      </c>
      <c r="AC19" s="20">
        <v>0.74276527331189712</v>
      </c>
      <c r="AD19" s="22">
        <v>0.88777555110220441</v>
      </c>
      <c r="AE19">
        <v>0.14279859484777518</v>
      </c>
      <c r="AF19">
        <v>2.1077283372365339E-2</v>
      </c>
      <c r="AG19">
        <v>0.16387587822014052</v>
      </c>
      <c r="AH19">
        <v>0.24818501170960186</v>
      </c>
      <c r="AI19">
        <v>1.4754098360655738E-2</v>
      </c>
      <c r="AJ19">
        <v>0.26293911007025761</v>
      </c>
      <c r="AM19">
        <f t="shared" si="0"/>
        <v>42.7</v>
      </c>
    </row>
    <row r="20" spans="1:39">
      <c r="A20" s="20">
        <v>165</v>
      </c>
      <c r="B20" t="s">
        <v>10</v>
      </c>
      <c r="C20" s="22" t="s">
        <v>23</v>
      </c>
      <c r="D20">
        <v>5371</v>
      </c>
      <c r="E20">
        <v>50</v>
      </c>
      <c r="F20" s="43">
        <v>107.42</v>
      </c>
      <c r="G20">
        <v>200</v>
      </c>
      <c r="H20" s="43">
        <v>0.25</v>
      </c>
      <c r="I20" s="20">
        <v>0.44009042999999998</v>
      </c>
      <c r="J20">
        <v>0.25395629199999997</v>
      </c>
      <c r="K20">
        <v>1</v>
      </c>
      <c r="L20">
        <v>0.95855312699999995</v>
      </c>
      <c r="M20">
        <v>0.74981160499999999</v>
      </c>
      <c r="N20">
        <v>0.450640543</v>
      </c>
      <c r="O20">
        <v>0.44009042999999998</v>
      </c>
      <c r="P20">
        <v>0.35267520699999999</v>
      </c>
      <c r="Q20">
        <v>0.33986435599999998</v>
      </c>
      <c r="R20">
        <v>0.36096458199999998</v>
      </c>
      <c r="S20">
        <v>0.317256971</v>
      </c>
      <c r="T20" s="22">
        <v>0.25395629199999997</v>
      </c>
      <c r="U20" s="20" t="s">
        <v>143</v>
      </c>
      <c r="V20" t="s">
        <v>143</v>
      </c>
      <c r="W20">
        <v>3</v>
      </c>
      <c r="X20" s="22">
        <v>4</v>
      </c>
      <c r="Y20" s="20">
        <v>481500</v>
      </c>
      <c r="Z20">
        <v>18900</v>
      </c>
      <c r="AA20">
        <v>150300</v>
      </c>
      <c r="AB20" s="22">
        <v>31500</v>
      </c>
      <c r="AC20" s="20">
        <v>0.92446043165467628</v>
      </c>
      <c r="AD20" s="22">
        <v>0.65346534653465349</v>
      </c>
      <c r="AE20">
        <v>0.44824055110780114</v>
      </c>
      <c r="AF20">
        <v>1.7594488921988456E-2</v>
      </c>
      <c r="AG20">
        <v>0.46583504002978959</v>
      </c>
      <c r="AH20">
        <v>0.13991807857009869</v>
      </c>
      <c r="AI20">
        <v>2.9324148203314093E-2</v>
      </c>
      <c r="AJ20">
        <v>0.16924222677341277</v>
      </c>
      <c r="AM20">
        <f t="shared" si="0"/>
        <v>26.855</v>
      </c>
    </row>
    <row r="21" spans="1:39">
      <c r="A21" s="20">
        <v>167</v>
      </c>
      <c r="B21" t="s">
        <v>12</v>
      </c>
      <c r="C21" s="22" t="s">
        <v>23</v>
      </c>
      <c r="D21">
        <v>1800</v>
      </c>
      <c r="E21">
        <v>855</v>
      </c>
      <c r="F21" s="43">
        <v>2.1052631578947367</v>
      </c>
      <c r="G21">
        <v>260</v>
      </c>
      <c r="H21" s="43">
        <v>3.2884615384615383</v>
      </c>
      <c r="I21" s="20">
        <v>0.54</v>
      </c>
      <c r="J21">
        <v>0.30314960600000002</v>
      </c>
      <c r="K21">
        <v>1</v>
      </c>
      <c r="L21">
        <v>0.84645669300000004</v>
      </c>
      <c r="M21">
        <v>0.85826771700000004</v>
      </c>
      <c r="N21">
        <v>0.77559055099999996</v>
      </c>
      <c r="O21">
        <v>0.55000000000000004</v>
      </c>
      <c r="P21">
        <v>0.30708661399999998</v>
      </c>
      <c r="Q21">
        <v>0.25196850399999998</v>
      </c>
      <c r="R21">
        <v>0.271653543</v>
      </c>
      <c r="S21">
        <v>0.311023622</v>
      </c>
      <c r="T21" s="22">
        <v>0.30314960600000002</v>
      </c>
      <c r="U21" s="20" t="s">
        <v>146</v>
      </c>
      <c r="V21" t="s">
        <v>142</v>
      </c>
      <c r="W21">
        <v>5</v>
      </c>
      <c r="X21" s="22">
        <v>6</v>
      </c>
      <c r="Y21" s="20">
        <v>151200</v>
      </c>
      <c r="Z21">
        <v>71100</v>
      </c>
      <c r="AA21">
        <v>126900</v>
      </c>
      <c r="AB21" s="22">
        <v>0</v>
      </c>
      <c r="AC21" s="20">
        <v>0.36032388663967613</v>
      </c>
      <c r="AD21" s="22">
        <v>1</v>
      </c>
      <c r="AE21">
        <v>0.32307692307692309</v>
      </c>
      <c r="AF21">
        <v>0.15192307692307691</v>
      </c>
      <c r="AG21">
        <v>0.47499999999999998</v>
      </c>
      <c r="AH21">
        <v>0.27115384615384613</v>
      </c>
      <c r="AI21">
        <v>0</v>
      </c>
      <c r="AJ21">
        <v>0.27115384615384613</v>
      </c>
      <c r="AM21">
        <f t="shared" si="0"/>
        <v>9</v>
      </c>
    </row>
    <row r="22" spans="1:39">
      <c r="A22" s="20">
        <v>202</v>
      </c>
      <c r="B22" t="s">
        <v>12</v>
      </c>
      <c r="C22" s="22" t="s">
        <v>24</v>
      </c>
      <c r="D22">
        <v>12180</v>
      </c>
      <c r="E22">
        <v>770</v>
      </c>
      <c r="F22" s="43">
        <v>15.818181818181818</v>
      </c>
      <c r="G22">
        <v>400</v>
      </c>
      <c r="H22" s="43">
        <v>1.925</v>
      </c>
      <c r="I22" s="20">
        <v>0.56481999999999999</v>
      </c>
      <c r="J22">
        <v>0.45293</v>
      </c>
      <c r="K22">
        <v>1</v>
      </c>
      <c r="L22">
        <v>0.57626999999999995</v>
      </c>
      <c r="M22">
        <v>0.53164999999999996</v>
      </c>
      <c r="N22">
        <v>0.51390000000000002</v>
      </c>
      <c r="O22">
        <v>0.56481999999999999</v>
      </c>
      <c r="P22">
        <v>0.58187</v>
      </c>
      <c r="Q22">
        <v>0.47488999999999998</v>
      </c>
      <c r="R22">
        <v>0.61363999999999996</v>
      </c>
      <c r="S22">
        <v>0.60313000000000005</v>
      </c>
      <c r="T22" s="22">
        <v>0.45293</v>
      </c>
      <c r="U22" s="20" t="s">
        <v>143</v>
      </c>
      <c r="V22" t="s">
        <v>142</v>
      </c>
      <c r="W22">
        <v>1</v>
      </c>
      <c r="X22" s="22">
        <v>1</v>
      </c>
      <c r="Y22" s="20">
        <v>1017000</v>
      </c>
      <c r="Z22">
        <v>74700</v>
      </c>
      <c r="AA22">
        <v>522900</v>
      </c>
      <c r="AB22" s="22">
        <v>0</v>
      </c>
      <c r="AC22" s="20">
        <v>0.8631492168178071</v>
      </c>
      <c r="AD22" s="22">
        <v>1</v>
      </c>
      <c r="AE22">
        <v>0.20874384236453203</v>
      </c>
      <c r="AF22">
        <v>1.5332512315270936E-2</v>
      </c>
      <c r="AG22">
        <v>0.22407635467980297</v>
      </c>
      <c r="AH22">
        <v>0.10732758620689656</v>
      </c>
      <c r="AI22">
        <v>0</v>
      </c>
      <c r="AJ22">
        <v>0.10732758620689656</v>
      </c>
      <c r="AM22">
        <f t="shared" si="0"/>
        <v>60.9</v>
      </c>
    </row>
    <row r="23" spans="1:39">
      <c r="A23" s="20">
        <v>205</v>
      </c>
      <c r="B23" t="s">
        <v>12</v>
      </c>
      <c r="C23" s="22" t="s">
        <v>25</v>
      </c>
      <c r="D23">
        <v>4300</v>
      </c>
      <c r="E23">
        <v>590</v>
      </c>
      <c r="F23" s="43">
        <v>7.2881355932203391</v>
      </c>
      <c r="G23">
        <v>200</v>
      </c>
      <c r="H23" s="43">
        <v>2.95</v>
      </c>
      <c r="I23" s="20">
        <v>0.79415855400000002</v>
      </c>
      <c r="J23">
        <v>0.57301808099999996</v>
      </c>
      <c r="K23">
        <v>1</v>
      </c>
      <c r="L23">
        <v>0.99860917900000001</v>
      </c>
      <c r="M23">
        <v>0.97357440900000003</v>
      </c>
      <c r="N23">
        <v>0.94993045899999995</v>
      </c>
      <c r="O23">
        <v>0.79415855400000002</v>
      </c>
      <c r="P23">
        <v>0.79554937400000003</v>
      </c>
      <c r="Q23">
        <v>0.78442280900000005</v>
      </c>
      <c r="R23">
        <v>0.71349096000000001</v>
      </c>
      <c r="S23">
        <v>0.630041725</v>
      </c>
      <c r="T23" s="22">
        <v>0.57301808099999996</v>
      </c>
      <c r="U23" s="20" t="s">
        <v>142</v>
      </c>
      <c r="V23" t="s">
        <v>144</v>
      </c>
      <c r="W23">
        <v>6</v>
      </c>
      <c r="X23" s="22"/>
      <c r="Y23" s="20">
        <v>34200</v>
      </c>
      <c r="Z23">
        <v>900</v>
      </c>
      <c r="AA23">
        <v>0</v>
      </c>
      <c r="AB23" s="22">
        <v>0</v>
      </c>
      <c r="AC23" s="20">
        <v>0.94871794871794868</v>
      </c>
      <c r="AD23" s="22" t="s">
        <v>145</v>
      </c>
      <c r="AE23">
        <v>3.9767441860465116E-2</v>
      </c>
      <c r="AF23">
        <v>1.0465116279069768E-3</v>
      </c>
      <c r="AG23">
        <v>4.0813953488372093E-2</v>
      </c>
      <c r="AM23">
        <f t="shared" si="0"/>
        <v>21.5</v>
      </c>
    </row>
    <row r="24" spans="1:39">
      <c r="A24" s="20">
        <v>207</v>
      </c>
      <c r="B24" t="s">
        <v>10</v>
      </c>
      <c r="C24" s="22" t="s">
        <v>26</v>
      </c>
      <c r="D24">
        <v>2780</v>
      </c>
      <c r="E24">
        <v>100</v>
      </c>
      <c r="F24" s="43">
        <v>27.8</v>
      </c>
      <c r="G24">
        <v>260</v>
      </c>
      <c r="H24" s="43">
        <v>0.38461538461538464</v>
      </c>
      <c r="I24" s="20">
        <v>0.88479262700000005</v>
      </c>
      <c r="J24">
        <v>0.79416282599999999</v>
      </c>
      <c r="K24">
        <v>1</v>
      </c>
      <c r="L24">
        <v>0.89708141299999999</v>
      </c>
      <c r="M24">
        <v>0.91397849499999995</v>
      </c>
      <c r="N24">
        <v>0.92933947800000005</v>
      </c>
      <c r="O24">
        <v>0.88479262700000005</v>
      </c>
      <c r="P24">
        <v>0.87711213499999996</v>
      </c>
      <c r="Q24">
        <v>0.87557603699999997</v>
      </c>
      <c r="R24">
        <v>0.83870967699999999</v>
      </c>
      <c r="S24">
        <v>0.837173579</v>
      </c>
      <c r="T24" s="22">
        <v>0.79416282599999999</v>
      </c>
      <c r="U24" s="20" t="s">
        <v>142</v>
      </c>
      <c r="V24" t="s">
        <v>144</v>
      </c>
      <c r="W24">
        <v>6</v>
      </c>
      <c r="X24" s="22"/>
      <c r="Y24" s="20">
        <v>80100</v>
      </c>
      <c r="Z24">
        <v>900</v>
      </c>
      <c r="AA24">
        <v>0</v>
      </c>
      <c r="AB24" s="22">
        <v>0</v>
      </c>
      <c r="AC24" s="20">
        <v>0.97777777777777775</v>
      </c>
      <c r="AD24" s="22" t="s">
        <v>145</v>
      </c>
      <c r="AE24">
        <v>0.11081903707802988</v>
      </c>
      <c r="AF24">
        <v>1.2451577199778638E-3</v>
      </c>
      <c r="AG24">
        <v>0.11206419479800775</v>
      </c>
      <c r="AM24">
        <f t="shared" si="0"/>
        <v>13.9</v>
      </c>
    </row>
    <row r="25" spans="1:39">
      <c r="A25" s="20">
        <v>208</v>
      </c>
      <c r="B25" t="s">
        <v>12</v>
      </c>
      <c r="C25" s="22" t="s">
        <v>26</v>
      </c>
      <c r="D25">
        <v>2960</v>
      </c>
      <c r="E25">
        <v>500</v>
      </c>
      <c r="F25" s="43">
        <v>5.92</v>
      </c>
      <c r="G25">
        <v>200</v>
      </c>
      <c r="H25" s="43">
        <v>2.5</v>
      </c>
      <c r="I25" s="20">
        <v>0.64094955499999995</v>
      </c>
      <c r="J25">
        <v>0.46735905</v>
      </c>
      <c r="K25">
        <v>1</v>
      </c>
      <c r="L25">
        <v>0.89020771499999996</v>
      </c>
      <c r="M25">
        <v>0.82492581600000003</v>
      </c>
      <c r="N25">
        <v>0.743323442</v>
      </c>
      <c r="O25">
        <v>0.64094955499999995</v>
      </c>
      <c r="P25">
        <v>0.63204747800000005</v>
      </c>
      <c r="Q25">
        <v>0.56379822000000002</v>
      </c>
      <c r="R25">
        <v>0.53264095</v>
      </c>
      <c r="S25">
        <v>0.47626112799999998</v>
      </c>
      <c r="T25" s="22">
        <v>0.46735905</v>
      </c>
      <c r="U25" s="20" t="s">
        <v>142</v>
      </c>
      <c r="V25" t="s">
        <v>142</v>
      </c>
      <c r="W25">
        <v>11</v>
      </c>
      <c r="X25" s="22">
        <v>30</v>
      </c>
      <c r="Y25" s="20">
        <v>131400</v>
      </c>
      <c r="Z25">
        <v>17100</v>
      </c>
      <c r="AA25">
        <v>273600</v>
      </c>
      <c r="AB25" s="22">
        <v>0</v>
      </c>
      <c r="AC25" s="20">
        <v>0.76969696969696966</v>
      </c>
      <c r="AD25" s="22">
        <v>1</v>
      </c>
      <c r="AE25">
        <v>0.22195945945945947</v>
      </c>
      <c r="AF25">
        <v>2.8885135135135135E-2</v>
      </c>
      <c r="AG25">
        <v>0.25084459459459463</v>
      </c>
      <c r="AH25">
        <v>0.46216216216216216</v>
      </c>
      <c r="AI25">
        <v>0</v>
      </c>
      <c r="AJ25">
        <v>0.46216216216216216</v>
      </c>
      <c r="AM25">
        <f t="shared" si="0"/>
        <v>14.8</v>
      </c>
    </row>
    <row r="26" spans="1:39">
      <c r="A26" s="20">
        <v>209</v>
      </c>
      <c r="B26" t="s">
        <v>10</v>
      </c>
      <c r="C26" s="22" t="s">
        <v>26</v>
      </c>
      <c r="D26">
        <v>3875</v>
      </c>
      <c r="E26">
        <v>55</v>
      </c>
      <c r="F26" s="43">
        <v>70.454545454545453</v>
      </c>
      <c r="G26">
        <v>200</v>
      </c>
      <c r="H26" s="43">
        <v>0.27500000000000002</v>
      </c>
      <c r="I26" s="20">
        <v>0.76125511596180084</v>
      </c>
      <c r="J26">
        <v>0.78308321964529326</v>
      </c>
      <c r="K26">
        <v>1</v>
      </c>
      <c r="L26">
        <v>0.90859481582537516</v>
      </c>
      <c r="M26">
        <v>0.89631650750341063</v>
      </c>
      <c r="N26">
        <v>0.91678035470668484</v>
      </c>
      <c r="O26">
        <v>0.76125511596180084</v>
      </c>
      <c r="P26">
        <v>0.80900409276944063</v>
      </c>
      <c r="Q26">
        <v>0.78444747612551158</v>
      </c>
      <c r="R26">
        <v>0.81582537517053211</v>
      </c>
      <c r="S26">
        <v>0.82128240109140516</v>
      </c>
      <c r="T26" s="22">
        <v>0.78308321964529326</v>
      </c>
      <c r="U26" s="20" t="s">
        <v>143</v>
      </c>
      <c r="V26" t="s">
        <v>142</v>
      </c>
      <c r="W26">
        <v>14</v>
      </c>
      <c r="X26" s="22">
        <v>4</v>
      </c>
      <c r="Y26" s="20">
        <v>900</v>
      </c>
      <c r="Z26">
        <v>49500</v>
      </c>
      <c r="AA26">
        <v>44100</v>
      </c>
      <c r="AB26" s="22">
        <v>15300</v>
      </c>
      <c r="AC26" s="20">
        <v>-0.9642857142857143</v>
      </c>
      <c r="AD26" s="22">
        <v>0.48484848484848486</v>
      </c>
      <c r="AE26">
        <v>1.1612903225806451E-3</v>
      </c>
      <c r="AF26">
        <v>6.3870967741935486E-2</v>
      </c>
      <c r="AG26">
        <v>6.5032258064516124E-2</v>
      </c>
      <c r="AH26">
        <v>5.6903225806451616E-2</v>
      </c>
      <c r="AI26">
        <v>1.9741935483870966E-2</v>
      </c>
      <c r="AJ26">
        <v>7.6645161290322589E-2</v>
      </c>
      <c r="AM26">
        <f t="shared" si="0"/>
        <v>19.375</v>
      </c>
    </row>
    <row r="27" spans="1:39">
      <c r="A27" s="20">
        <v>229</v>
      </c>
      <c r="B27" t="s">
        <v>12</v>
      </c>
      <c r="C27" s="22" t="s">
        <v>27</v>
      </c>
      <c r="D27">
        <v>7800</v>
      </c>
      <c r="E27">
        <v>850</v>
      </c>
      <c r="F27" s="43">
        <v>9.1764705882352935</v>
      </c>
      <c r="G27">
        <v>400</v>
      </c>
      <c r="H27" s="43">
        <v>2.125</v>
      </c>
      <c r="I27" s="20">
        <v>0.75644</v>
      </c>
      <c r="K27">
        <v>1</v>
      </c>
      <c r="L27">
        <v>1.0685</v>
      </c>
      <c r="M27">
        <v>0.87587999999999999</v>
      </c>
      <c r="N27">
        <v>0.93091000000000002</v>
      </c>
      <c r="O27">
        <v>0.75644</v>
      </c>
      <c r="P27">
        <v>0.71018999999999999</v>
      </c>
      <c r="T27" s="22"/>
      <c r="U27" s="20" t="s">
        <v>142</v>
      </c>
      <c r="V27" t="s">
        <v>142</v>
      </c>
      <c r="W27">
        <v>2</v>
      </c>
      <c r="X27" s="22">
        <v>3</v>
      </c>
      <c r="Y27" s="20">
        <v>667800</v>
      </c>
      <c r="Z27">
        <v>0</v>
      </c>
      <c r="AA27">
        <v>150300</v>
      </c>
      <c r="AB27" s="22">
        <v>0</v>
      </c>
      <c r="AC27" s="20">
        <v>1</v>
      </c>
      <c r="AD27" s="22">
        <v>1</v>
      </c>
      <c r="AE27">
        <v>0.21403846153846154</v>
      </c>
      <c r="AF27">
        <v>0</v>
      </c>
      <c r="AG27">
        <v>0.21403846153846154</v>
      </c>
      <c r="AH27">
        <v>4.8173076923076923E-2</v>
      </c>
      <c r="AI27">
        <v>0</v>
      </c>
      <c r="AJ27">
        <v>4.8173076923076923E-2</v>
      </c>
      <c r="AM27">
        <f t="shared" si="0"/>
        <v>39</v>
      </c>
    </row>
    <row r="28" spans="1:39">
      <c r="A28" s="20">
        <v>230</v>
      </c>
      <c r="B28" t="s">
        <v>12</v>
      </c>
      <c r="C28" s="22" t="s">
        <v>27</v>
      </c>
      <c r="D28">
        <v>19460</v>
      </c>
      <c r="E28">
        <v>975</v>
      </c>
      <c r="F28" s="43">
        <v>19.958974358974359</v>
      </c>
      <c r="G28">
        <v>400</v>
      </c>
      <c r="H28" s="43">
        <v>2.4375</v>
      </c>
      <c r="I28" s="20">
        <v>0.57081999999999999</v>
      </c>
      <c r="J28">
        <v>0.39506000000000002</v>
      </c>
      <c r="K28">
        <v>1</v>
      </c>
      <c r="L28">
        <v>0.50770000000000004</v>
      </c>
      <c r="M28">
        <v>0.40434999999999999</v>
      </c>
      <c r="N28">
        <v>0.33439000000000002</v>
      </c>
      <c r="O28">
        <v>0.57081999999999999</v>
      </c>
      <c r="P28">
        <v>0.39693000000000001</v>
      </c>
      <c r="Q28">
        <v>0.35353000000000001</v>
      </c>
      <c r="R28">
        <v>0.30574000000000001</v>
      </c>
      <c r="S28">
        <v>0.35008</v>
      </c>
      <c r="T28" s="22">
        <v>0.39506000000000002</v>
      </c>
      <c r="U28" s="20" t="s">
        <v>142</v>
      </c>
      <c r="V28" t="s">
        <v>142</v>
      </c>
      <c r="W28">
        <v>2</v>
      </c>
      <c r="X28" s="22">
        <v>9</v>
      </c>
      <c r="Y28" s="20">
        <v>1599300</v>
      </c>
      <c r="Z28">
        <v>11700</v>
      </c>
      <c r="AA28">
        <v>1040400</v>
      </c>
      <c r="AB28" s="22">
        <v>76500</v>
      </c>
      <c r="AC28" s="20">
        <v>0.98547486033519549</v>
      </c>
      <c r="AD28" s="22">
        <v>0.86301369863013699</v>
      </c>
      <c r="AE28">
        <v>0.20545991778006167</v>
      </c>
      <c r="AF28">
        <v>1.5030832476875641E-3</v>
      </c>
      <c r="AG28">
        <v>0.20696300102774923</v>
      </c>
      <c r="AH28">
        <v>0.13365878725590954</v>
      </c>
      <c r="AI28">
        <v>9.8278520041109978E-3</v>
      </c>
      <c r="AJ28">
        <v>0.14348663926002053</v>
      </c>
      <c r="AM28">
        <f t="shared" si="0"/>
        <v>97.3</v>
      </c>
    </row>
    <row r="29" spans="1:39">
      <c r="A29" s="20">
        <v>231</v>
      </c>
      <c r="B29" t="s">
        <v>10</v>
      </c>
      <c r="C29" s="22" t="s">
        <v>27</v>
      </c>
      <c r="D29">
        <v>2480</v>
      </c>
      <c r="E29">
        <v>180</v>
      </c>
      <c r="F29" s="43">
        <v>13.777777777777779</v>
      </c>
      <c r="G29">
        <v>400</v>
      </c>
      <c r="H29" s="43">
        <v>0.45</v>
      </c>
      <c r="I29" s="20">
        <v>0.70172684500000004</v>
      </c>
      <c r="J29">
        <v>0.428571429</v>
      </c>
      <c r="K29">
        <v>1</v>
      </c>
      <c r="L29">
        <v>0.97645211899999995</v>
      </c>
      <c r="M29">
        <v>0.91</v>
      </c>
      <c r="N29">
        <v>0.84772370500000005</v>
      </c>
      <c r="O29">
        <v>0.70172684500000004</v>
      </c>
      <c r="P29">
        <v>0.47566719000000002</v>
      </c>
      <c r="Q29">
        <v>0.46938775500000002</v>
      </c>
      <c r="R29">
        <v>0.49293563600000001</v>
      </c>
      <c r="S29">
        <v>0.44270015699999998</v>
      </c>
      <c r="T29" s="22">
        <v>0.428571429</v>
      </c>
      <c r="U29" s="20" t="s">
        <v>142</v>
      </c>
      <c r="V29" t="s">
        <v>142</v>
      </c>
      <c r="W29">
        <v>2</v>
      </c>
      <c r="X29" s="22">
        <v>2</v>
      </c>
      <c r="Y29" s="20">
        <v>202500</v>
      </c>
      <c r="Z29">
        <v>27900</v>
      </c>
      <c r="AA29">
        <v>212400</v>
      </c>
      <c r="AB29" s="22">
        <v>0</v>
      </c>
      <c r="AC29" s="20">
        <v>0.7578125</v>
      </c>
      <c r="AD29" s="22">
        <v>1</v>
      </c>
      <c r="AE29">
        <v>0.20413306451612903</v>
      </c>
      <c r="AF29">
        <v>2.8125000000000001E-2</v>
      </c>
      <c r="AG29">
        <v>0.23225806451612904</v>
      </c>
      <c r="AH29">
        <v>0.21411290322580645</v>
      </c>
      <c r="AI29">
        <v>0</v>
      </c>
      <c r="AJ29">
        <v>0.21411290322580645</v>
      </c>
      <c r="AM29">
        <f t="shared" si="0"/>
        <v>12.4</v>
      </c>
    </row>
    <row r="30" spans="1:39">
      <c r="A30" s="20">
        <v>237</v>
      </c>
      <c r="B30" t="s">
        <v>12</v>
      </c>
      <c r="C30" s="22" t="s">
        <v>30</v>
      </c>
      <c r="D30">
        <v>6600</v>
      </c>
      <c r="E30">
        <v>920</v>
      </c>
      <c r="F30" s="43">
        <v>7.1739130434782608</v>
      </c>
      <c r="G30">
        <v>380</v>
      </c>
      <c r="H30" s="43">
        <v>2.4210526315789473</v>
      </c>
      <c r="I30" s="20">
        <v>0.62377122399999996</v>
      </c>
      <c r="J30">
        <v>0.61364313400000003</v>
      </c>
      <c r="K30">
        <v>1</v>
      </c>
      <c r="L30">
        <v>0.83943997599999998</v>
      </c>
      <c r="M30">
        <v>0.8</v>
      </c>
      <c r="N30">
        <v>0.77241584699999999</v>
      </c>
      <c r="O30">
        <v>0.62377122399999996</v>
      </c>
      <c r="P30">
        <v>0.60560023799999996</v>
      </c>
      <c r="Q30">
        <v>0.6</v>
      </c>
      <c r="R30">
        <v>0.60351504300000003</v>
      </c>
      <c r="S30">
        <v>0.61751563899999995</v>
      </c>
      <c r="T30" s="22">
        <v>0.61364313400000003</v>
      </c>
      <c r="U30" s="20" t="s">
        <v>142</v>
      </c>
      <c r="V30" t="s">
        <v>142</v>
      </c>
      <c r="W30">
        <v>3</v>
      </c>
      <c r="X30" s="22">
        <v>19</v>
      </c>
      <c r="Y30" s="20">
        <v>626400</v>
      </c>
      <c r="Z30">
        <v>3600</v>
      </c>
      <c r="AA30">
        <v>261900</v>
      </c>
      <c r="AB30" s="22">
        <v>24300</v>
      </c>
      <c r="AC30" s="20">
        <v>0.98857142857142855</v>
      </c>
      <c r="AD30" s="22">
        <v>0.83018867924528306</v>
      </c>
      <c r="AE30">
        <v>0.24976076555023924</v>
      </c>
      <c r="AF30">
        <v>1.4354066985645933E-3</v>
      </c>
      <c r="AG30">
        <v>0.25119617224880381</v>
      </c>
      <c r="AH30">
        <v>0.10442583732057416</v>
      </c>
      <c r="AI30">
        <v>9.688995215311004E-3</v>
      </c>
      <c r="AJ30">
        <v>0.11411483253588517</v>
      </c>
      <c r="AM30">
        <f t="shared" si="0"/>
        <v>33</v>
      </c>
    </row>
    <row r="31" spans="1:39">
      <c r="A31" s="20">
        <v>257</v>
      </c>
      <c r="B31" t="s">
        <v>10</v>
      </c>
      <c r="C31" s="22" t="s">
        <v>31</v>
      </c>
      <c r="D31">
        <v>3880</v>
      </c>
      <c r="E31">
        <v>60</v>
      </c>
      <c r="F31" s="43">
        <v>64.666666666666671</v>
      </c>
      <c r="G31">
        <v>220</v>
      </c>
      <c r="H31" s="43">
        <v>0.27272727272727271</v>
      </c>
      <c r="I31" s="20">
        <v>0.83312731799999995</v>
      </c>
      <c r="J31">
        <v>0.59826946800000003</v>
      </c>
      <c r="K31">
        <v>1</v>
      </c>
      <c r="L31">
        <v>1.121137206</v>
      </c>
      <c r="M31">
        <v>0.91718170600000004</v>
      </c>
      <c r="N31">
        <v>1.173053152</v>
      </c>
      <c r="O31">
        <v>0.83312731799999995</v>
      </c>
      <c r="P31">
        <v>0.81705809600000001</v>
      </c>
      <c r="Q31">
        <v>0.80098887500000004</v>
      </c>
      <c r="R31">
        <v>0.78862793600000003</v>
      </c>
      <c r="S31">
        <v>0.62175525300000001</v>
      </c>
      <c r="T31" s="22">
        <v>0.59826946800000003</v>
      </c>
      <c r="U31" s="20" t="s">
        <v>143</v>
      </c>
      <c r="V31" t="s">
        <v>143</v>
      </c>
      <c r="W31">
        <v>6</v>
      </c>
      <c r="X31" s="22">
        <v>2</v>
      </c>
      <c r="Y31" s="20">
        <v>10800</v>
      </c>
      <c r="Z31">
        <v>42300</v>
      </c>
      <c r="AA31">
        <v>4500</v>
      </c>
      <c r="AB31" s="22">
        <v>38700</v>
      </c>
      <c r="AC31" s="20">
        <v>-0.59322033898305082</v>
      </c>
      <c r="AD31" s="22">
        <v>-0.79166666666666663</v>
      </c>
      <c r="AE31">
        <v>1.2652296157450796E-2</v>
      </c>
      <c r="AF31">
        <v>4.9554826616682285E-2</v>
      </c>
      <c r="AG31">
        <v>6.2207122774133081E-2</v>
      </c>
      <c r="AH31">
        <v>5.2717900656044986E-3</v>
      </c>
      <c r="AI31">
        <v>4.5337394564198691E-2</v>
      </c>
      <c r="AJ31">
        <v>5.060918462980319E-2</v>
      </c>
      <c r="AM31">
        <f t="shared" si="0"/>
        <v>19.399999999999999</v>
      </c>
    </row>
    <row r="32" spans="1:39">
      <c r="A32" s="20">
        <v>261</v>
      </c>
      <c r="B32" t="s">
        <v>10</v>
      </c>
      <c r="C32" s="22" t="s">
        <v>31</v>
      </c>
      <c r="D32">
        <v>3775</v>
      </c>
      <c r="E32">
        <v>30</v>
      </c>
      <c r="F32" s="43">
        <v>125.83333333333333</v>
      </c>
      <c r="G32">
        <v>260</v>
      </c>
      <c r="H32" s="43">
        <v>0.11538461538461539</v>
      </c>
      <c r="I32" s="20">
        <v>0.76487523999999996</v>
      </c>
      <c r="J32">
        <v>0.90690978899999997</v>
      </c>
      <c r="K32">
        <v>1</v>
      </c>
      <c r="L32">
        <v>0.94241842600000003</v>
      </c>
      <c r="M32">
        <v>0.83685220699999996</v>
      </c>
      <c r="N32">
        <v>0.77255278299999997</v>
      </c>
      <c r="O32">
        <v>0.76487523999999996</v>
      </c>
      <c r="P32">
        <v>0.78886756199999997</v>
      </c>
      <c r="Q32">
        <v>0.78310940500000004</v>
      </c>
      <c r="R32">
        <v>0.80038387700000002</v>
      </c>
      <c r="S32">
        <v>0.86276391600000002</v>
      </c>
      <c r="T32" s="22">
        <v>0.90690978899999997</v>
      </c>
      <c r="U32" s="20" t="s">
        <v>142</v>
      </c>
      <c r="V32" t="s">
        <v>142</v>
      </c>
      <c r="W32">
        <v>5</v>
      </c>
      <c r="X32" s="22">
        <v>1</v>
      </c>
      <c r="Y32" s="20">
        <v>18900</v>
      </c>
      <c r="Z32">
        <v>12600</v>
      </c>
      <c r="AA32">
        <v>108000</v>
      </c>
      <c r="AB32" s="22">
        <v>1800</v>
      </c>
      <c r="AC32" s="20">
        <v>0.2</v>
      </c>
      <c r="AD32" s="22">
        <v>0.96721311475409832</v>
      </c>
      <c r="AE32">
        <v>1.9256240448293428E-2</v>
      </c>
      <c r="AF32">
        <v>1.2837493632195619E-2</v>
      </c>
      <c r="AG32">
        <v>3.2093734080489045E-2</v>
      </c>
      <c r="AH32">
        <v>0.11003565970453388</v>
      </c>
      <c r="AI32">
        <v>1.8339276617422313E-3</v>
      </c>
      <c r="AJ32">
        <v>0.11186958736627611</v>
      </c>
      <c r="AM32">
        <f t="shared" si="0"/>
        <v>18.875</v>
      </c>
    </row>
    <row r="33" spans="1:39">
      <c r="A33" s="20">
        <v>265</v>
      </c>
      <c r="B33" t="s">
        <v>12</v>
      </c>
      <c r="C33" s="22" t="s">
        <v>31</v>
      </c>
      <c r="D33">
        <v>6230</v>
      </c>
      <c r="E33">
        <v>980</v>
      </c>
      <c r="F33" s="43">
        <v>6.3571428571428568</v>
      </c>
      <c r="G33">
        <v>340</v>
      </c>
      <c r="H33" s="43">
        <v>2.8823529411764706</v>
      </c>
      <c r="I33" s="20">
        <v>0.48888888899999999</v>
      </c>
      <c r="J33">
        <v>0.43817663800000001</v>
      </c>
      <c r="K33">
        <v>1</v>
      </c>
      <c r="L33">
        <v>1.015954416</v>
      </c>
      <c r="M33">
        <v>0.73960113999999999</v>
      </c>
      <c r="N33">
        <v>0.58518518500000005</v>
      </c>
      <c r="O33">
        <v>0.48888888899999999</v>
      </c>
      <c r="P33">
        <v>0.57321937300000003</v>
      </c>
      <c r="Q33">
        <v>0.54985755000000003</v>
      </c>
      <c r="R33">
        <v>0.51396011399999997</v>
      </c>
      <c r="S33">
        <v>0.485470085</v>
      </c>
      <c r="T33" s="22">
        <v>0.43817663800000001</v>
      </c>
      <c r="U33" s="20" t="s">
        <v>144</v>
      </c>
      <c r="V33" t="s">
        <v>142</v>
      </c>
      <c r="W33">
        <v>0</v>
      </c>
      <c r="X33" s="22">
        <v>7</v>
      </c>
      <c r="Y33" s="20">
        <v>0</v>
      </c>
      <c r="Z33">
        <v>0</v>
      </c>
      <c r="AA33">
        <v>401400</v>
      </c>
      <c r="AB33" s="22">
        <v>0</v>
      </c>
      <c r="AC33" s="20" t="s">
        <v>145</v>
      </c>
      <c r="AD33" s="22">
        <v>1</v>
      </c>
      <c r="AH33">
        <v>0.18950051930884712</v>
      </c>
      <c r="AI33">
        <v>0</v>
      </c>
      <c r="AJ33">
        <v>0.18950051930884712</v>
      </c>
      <c r="AM33">
        <f t="shared" si="0"/>
        <v>31.15</v>
      </c>
    </row>
    <row r="34" spans="1:39">
      <c r="A34" s="20">
        <v>284</v>
      </c>
      <c r="B34" t="s">
        <v>10</v>
      </c>
      <c r="C34" s="22" t="s">
        <v>32</v>
      </c>
      <c r="D34">
        <v>8690</v>
      </c>
      <c r="E34">
        <v>100</v>
      </c>
      <c r="F34" s="43">
        <v>86.9</v>
      </c>
      <c r="G34">
        <v>340</v>
      </c>
      <c r="H34" s="43">
        <v>0.29411764705882354</v>
      </c>
      <c r="I34" s="20">
        <v>0.97771587699999996</v>
      </c>
      <c r="J34">
        <v>0.97423398299999997</v>
      </c>
      <c r="K34">
        <v>1</v>
      </c>
      <c r="L34">
        <v>1.0543175490000001</v>
      </c>
      <c r="M34">
        <v>1.027855153</v>
      </c>
      <c r="N34">
        <v>1.0271587740000001</v>
      </c>
      <c r="O34">
        <v>0.97771587699999996</v>
      </c>
      <c r="P34">
        <v>1.0062674089999999</v>
      </c>
      <c r="Q34">
        <v>1.0222841229999999</v>
      </c>
      <c r="R34">
        <v>0.98676880199999994</v>
      </c>
      <c r="S34">
        <v>0.98746518100000003</v>
      </c>
      <c r="T34" s="22">
        <v>0.97423398299999997</v>
      </c>
      <c r="U34" s="20" t="s">
        <v>143</v>
      </c>
      <c r="V34" t="s">
        <v>143</v>
      </c>
      <c r="W34">
        <v>11</v>
      </c>
      <c r="X34" s="22">
        <v>10</v>
      </c>
      <c r="Y34" s="20">
        <v>468000</v>
      </c>
      <c r="Z34">
        <v>582300</v>
      </c>
      <c r="AA34">
        <v>110700</v>
      </c>
      <c r="AB34" s="22">
        <v>189000</v>
      </c>
      <c r="AC34" s="20">
        <v>-0.10882604970008569</v>
      </c>
      <c r="AD34" s="22">
        <v>-0.26126126126126126</v>
      </c>
      <c r="AE34">
        <v>0.15839707574629391</v>
      </c>
      <c r="AF34">
        <v>0.19708251539971569</v>
      </c>
      <c r="AG34">
        <v>0.35547959114600958</v>
      </c>
      <c r="AH34">
        <v>3.7467000609219522E-2</v>
      </c>
      <c r="AI34">
        <v>6.3968049820618697E-2</v>
      </c>
      <c r="AJ34">
        <v>0.10143505042983822</v>
      </c>
      <c r="AM34">
        <f t="shared" si="0"/>
        <v>43.45</v>
      </c>
    </row>
    <row r="35" spans="1:39">
      <c r="A35" s="20">
        <v>289</v>
      </c>
      <c r="B35" t="s">
        <v>10</v>
      </c>
      <c r="C35" s="22" t="s">
        <v>32</v>
      </c>
      <c r="D35">
        <v>8370</v>
      </c>
      <c r="E35">
        <v>40</v>
      </c>
      <c r="F35" s="43">
        <v>209.25</v>
      </c>
      <c r="G35">
        <v>340</v>
      </c>
      <c r="H35" s="43">
        <v>0.11764705882352941</v>
      </c>
      <c r="I35" s="20">
        <v>0.90920359500000003</v>
      </c>
      <c r="J35">
        <v>0.83762008099999996</v>
      </c>
      <c r="K35">
        <v>1</v>
      </c>
      <c r="L35">
        <v>0.98605516000000004</v>
      </c>
      <c r="M35">
        <v>0.95909513499999999</v>
      </c>
      <c r="N35">
        <v>0.92686705899999999</v>
      </c>
      <c r="O35">
        <v>0.90920359500000003</v>
      </c>
      <c r="P35">
        <v>0.92562751799999998</v>
      </c>
      <c r="Q35">
        <v>0.88131391400000003</v>
      </c>
      <c r="R35">
        <v>0.86705918800000004</v>
      </c>
      <c r="S35">
        <v>0.86334056400000003</v>
      </c>
      <c r="T35" s="22">
        <v>0.83762008099999996</v>
      </c>
      <c r="U35" s="20" t="s">
        <v>144</v>
      </c>
      <c r="V35" t="s">
        <v>144</v>
      </c>
      <c r="W35">
        <v>0</v>
      </c>
      <c r="X35" s="22">
        <v>0</v>
      </c>
      <c r="Y35" s="20">
        <v>0</v>
      </c>
      <c r="Z35">
        <v>0</v>
      </c>
      <c r="AA35">
        <v>0</v>
      </c>
      <c r="AB35" s="22">
        <v>0</v>
      </c>
      <c r="AC35" s="20" t="s">
        <v>145</v>
      </c>
      <c r="AD35" s="22" t="s">
        <v>145</v>
      </c>
      <c r="AM35">
        <f t="shared" si="0"/>
        <v>41.85</v>
      </c>
    </row>
    <row r="36" spans="1:39">
      <c r="A36" s="20">
        <v>290</v>
      </c>
      <c r="B36" t="s">
        <v>10</v>
      </c>
      <c r="C36" s="22" t="s">
        <v>32</v>
      </c>
      <c r="D36">
        <v>6460</v>
      </c>
      <c r="E36">
        <v>50</v>
      </c>
      <c r="F36" s="43">
        <v>129.19999999999999</v>
      </c>
      <c r="G36">
        <v>340</v>
      </c>
      <c r="H36" s="43">
        <v>0.14705882352941177</v>
      </c>
      <c r="I36" s="20">
        <v>0.86070381200000001</v>
      </c>
      <c r="J36">
        <v>0.81378299099999996</v>
      </c>
      <c r="K36">
        <v>1</v>
      </c>
      <c r="L36">
        <v>1.0395894429999999</v>
      </c>
      <c r="M36">
        <v>0.92961876799999998</v>
      </c>
      <c r="N36">
        <v>0.87145649999999997</v>
      </c>
      <c r="O36">
        <v>0.86070381200000001</v>
      </c>
      <c r="P36">
        <v>0.93890518099999998</v>
      </c>
      <c r="Q36">
        <v>0.84799608999999998</v>
      </c>
      <c r="R36">
        <v>0.83822091899999995</v>
      </c>
      <c r="S36">
        <v>0.80694037100000005</v>
      </c>
      <c r="T36" s="22">
        <v>0.81378299099999996</v>
      </c>
      <c r="U36" s="20" t="s">
        <v>143</v>
      </c>
      <c r="V36" t="s">
        <v>142</v>
      </c>
      <c r="W36">
        <v>8</v>
      </c>
      <c r="X36" s="22">
        <v>3</v>
      </c>
      <c r="Y36" s="20">
        <v>15300</v>
      </c>
      <c r="Z36">
        <v>183600</v>
      </c>
      <c r="AA36">
        <v>297000</v>
      </c>
      <c r="AB36" s="22">
        <v>0</v>
      </c>
      <c r="AC36" s="20">
        <v>-0.84615384615384615</v>
      </c>
      <c r="AD36" s="22">
        <v>1</v>
      </c>
      <c r="AE36">
        <v>6.9659442724458202E-3</v>
      </c>
      <c r="AF36">
        <v>8.3591331269349839E-2</v>
      </c>
      <c r="AG36">
        <v>9.0557275541795657E-2</v>
      </c>
      <c r="AH36">
        <v>0.1352212711710071</v>
      </c>
      <c r="AI36">
        <v>0</v>
      </c>
      <c r="AJ36">
        <v>0.1352212711710071</v>
      </c>
      <c r="AM36">
        <f t="shared" si="0"/>
        <v>32.299999999999997</v>
      </c>
    </row>
    <row r="37" spans="1:39">
      <c r="A37" s="20">
        <v>291</v>
      </c>
      <c r="B37" t="s">
        <v>12</v>
      </c>
      <c r="C37" s="22" t="s">
        <v>32</v>
      </c>
      <c r="D37">
        <v>22700</v>
      </c>
      <c r="E37">
        <v>6030</v>
      </c>
      <c r="F37" s="43">
        <v>3.7645107794361525</v>
      </c>
      <c r="G37">
        <v>240</v>
      </c>
      <c r="H37" s="43">
        <v>25.125</v>
      </c>
      <c r="I37" s="20">
        <v>0.90599472199999997</v>
      </c>
      <c r="J37">
        <v>0.67160990300000001</v>
      </c>
      <c r="K37">
        <v>1</v>
      </c>
      <c r="L37">
        <v>0.96807842200000005</v>
      </c>
      <c r="M37">
        <v>0.93213522699999996</v>
      </c>
      <c r="N37">
        <v>0.92</v>
      </c>
      <c r="O37">
        <v>0.90599472199999997</v>
      </c>
      <c r="P37">
        <v>0.82292321199999996</v>
      </c>
      <c r="Q37">
        <v>0.83021239199999997</v>
      </c>
      <c r="R37">
        <v>0.76636923499999998</v>
      </c>
      <c r="S37">
        <v>0.69674500399999995</v>
      </c>
      <c r="T37" s="22">
        <v>0.67160990300000001</v>
      </c>
      <c r="U37" s="20" t="s">
        <v>142</v>
      </c>
      <c r="V37" t="s">
        <v>144</v>
      </c>
      <c r="W37">
        <v>12</v>
      </c>
      <c r="X37" s="22"/>
      <c r="Y37" s="20">
        <v>2415600</v>
      </c>
      <c r="Z37">
        <v>173700</v>
      </c>
      <c r="AA37">
        <v>0</v>
      </c>
      <c r="AB37" s="22">
        <v>0</v>
      </c>
      <c r="AC37" s="20">
        <v>0.86583246437261041</v>
      </c>
      <c r="AD37" s="22" t="s">
        <v>145</v>
      </c>
      <c r="AE37">
        <v>0.44339207048458151</v>
      </c>
      <c r="AF37">
        <v>3.1883259911894272E-2</v>
      </c>
      <c r="AG37">
        <v>0.47527533039647579</v>
      </c>
      <c r="AH37">
        <v>0</v>
      </c>
      <c r="AI37">
        <v>0</v>
      </c>
      <c r="AJ37">
        <v>0</v>
      </c>
      <c r="AM37">
        <f t="shared" si="0"/>
        <v>113.5</v>
      </c>
    </row>
    <row r="38" spans="1:39">
      <c r="A38" s="20">
        <v>292</v>
      </c>
      <c r="B38" t="s">
        <v>10</v>
      </c>
      <c r="C38" s="22" t="s">
        <v>32</v>
      </c>
      <c r="D38">
        <v>8040</v>
      </c>
      <c r="E38">
        <v>30</v>
      </c>
      <c r="F38" s="43">
        <v>268</v>
      </c>
      <c r="G38">
        <v>240</v>
      </c>
      <c r="H38" s="43">
        <v>0.125</v>
      </c>
      <c r="I38" s="20">
        <v>0.85425637600000004</v>
      </c>
      <c r="J38">
        <v>0.68333885400000005</v>
      </c>
      <c r="K38">
        <v>1</v>
      </c>
      <c r="L38">
        <v>1.05</v>
      </c>
      <c r="M38">
        <v>1.0980457109999999</v>
      </c>
      <c r="N38">
        <v>0.80423981499999997</v>
      </c>
      <c r="O38">
        <v>0.85425637600000004</v>
      </c>
      <c r="P38">
        <v>0.78834051000000005</v>
      </c>
      <c r="Q38">
        <v>0.91818482899999998</v>
      </c>
      <c r="R38">
        <v>0.61642928100000005</v>
      </c>
      <c r="S38">
        <v>0.64325935700000003</v>
      </c>
      <c r="T38" s="22">
        <v>0.68333885400000005</v>
      </c>
      <c r="U38" s="20" t="s">
        <v>143</v>
      </c>
      <c r="V38" t="s">
        <v>143</v>
      </c>
      <c r="W38">
        <v>7</v>
      </c>
      <c r="X38" s="22">
        <v>6</v>
      </c>
      <c r="Y38" s="20">
        <v>119700</v>
      </c>
      <c r="Z38">
        <v>112500</v>
      </c>
      <c r="AA38">
        <v>265500</v>
      </c>
      <c r="AB38" s="22">
        <v>37800</v>
      </c>
      <c r="AC38" s="20">
        <v>3.1007751937984496E-2</v>
      </c>
      <c r="AD38" s="22">
        <v>0.75074183976261133</v>
      </c>
      <c r="AE38">
        <v>6.2033582089552237E-2</v>
      </c>
      <c r="AF38">
        <v>5.8302238805970151E-2</v>
      </c>
      <c r="AG38">
        <v>0.12033582089552239</v>
      </c>
      <c r="AH38">
        <v>0.13759328358208955</v>
      </c>
      <c r="AI38">
        <v>1.9589552238805971E-2</v>
      </c>
      <c r="AJ38">
        <v>0.15718283582089554</v>
      </c>
      <c r="AM38">
        <f t="shared" si="0"/>
        <v>40.200000000000003</v>
      </c>
    </row>
    <row r="39" spans="1:39">
      <c r="A39" s="20">
        <v>293</v>
      </c>
      <c r="B39" t="s">
        <v>10</v>
      </c>
      <c r="C39" s="22" t="s">
        <v>32</v>
      </c>
      <c r="D39">
        <v>9995</v>
      </c>
      <c r="E39">
        <v>420</v>
      </c>
      <c r="F39" s="43">
        <v>23.797619047619047</v>
      </c>
      <c r="G39">
        <v>280</v>
      </c>
      <c r="H39" s="43">
        <v>1.5</v>
      </c>
      <c r="I39" s="20">
        <v>1.0291300000000001</v>
      </c>
      <c r="J39">
        <v>0.53361000000000003</v>
      </c>
      <c r="K39">
        <v>1</v>
      </c>
      <c r="L39">
        <v>0.97423000000000004</v>
      </c>
      <c r="M39">
        <v>1.04742</v>
      </c>
      <c r="N39">
        <v>0.85474000000000006</v>
      </c>
      <c r="O39">
        <v>1.0291300000000001</v>
      </c>
      <c r="P39">
        <v>0.87490999999999997</v>
      </c>
      <c r="Q39">
        <v>1.0552699999999999</v>
      </c>
      <c r="R39">
        <v>1.00149</v>
      </c>
      <c r="S39">
        <v>0.67437999999999998</v>
      </c>
      <c r="T39" s="22">
        <v>0.53361000000000003</v>
      </c>
      <c r="U39" s="20" t="s">
        <v>142</v>
      </c>
      <c r="V39" t="s">
        <v>142</v>
      </c>
      <c r="W39">
        <v>7</v>
      </c>
      <c r="X39" s="22">
        <v>12</v>
      </c>
      <c r="Y39" s="20">
        <v>165600</v>
      </c>
      <c r="Z39">
        <v>39600</v>
      </c>
      <c r="AA39">
        <v>187200</v>
      </c>
      <c r="AB39" s="22">
        <v>0</v>
      </c>
      <c r="AC39" s="20">
        <v>0.61403508771929827</v>
      </c>
      <c r="AD39" s="22">
        <v>1</v>
      </c>
      <c r="AE39">
        <v>5.9172443364539411E-2</v>
      </c>
      <c r="AF39">
        <v>1.4149932108911599E-2</v>
      </c>
      <c r="AG39">
        <v>7.332237547345101E-2</v>
      </c>
      <c r="AH39">
        <v>6.6890588151218469E-2</v>
      </c>
      <c r="AI39">
        <v>0</v>
      </c>
      <c r="AJ39">
        <v>6.6890588151218469E-2</v>
      </c>
      <c r="AM39">
        <f t="shared" si="0"/>
        <v>49.975000000000001</v>
      </c>
    </row>
    <row r="40" spans="1:39">
      <c r="A40" s="20">
        <v>294</v>
      </c>
      <c r="B40" t="s">
        <v>10</v>
      </c>
      <c r="C40" s="22" t="s">
        <v>32</v>
      </c>
      <c r="D40">
        <v>5900</v>
      </c>
      <c r="E40">
        <v>30</v>
      </c>
      <c r="F40" s="43">
        <v>196.66666666666666</v>
      </c>
      <c r="G40">
        <v>280</v>
      </c>
      <c r="H40" s="43">
        <v>0.10714285714285714</v>
      </c>
      <c r="I40" s="20">
        <v>1.0939706680000001</v>
      </c>
      <c r="J40">
        <v>0.76860402000000005</v>
      </c>
      <c r="K40">
        <v>1</v>
      </c>
      <c r="L40">
        <v>0.96252036900000004</v>
      </c>
      <c r="M40">
        <v>1.021184139</v>
      </c>
      <c r="N40">
        <v>0.88267246099999996</v>
      </c>
      <c r="O40">
        <v>1.0939706680000001</v>
      </c>
      <c r="P40">
        <v>1</v>
      </c>
      <c r="Q40">
        <v>0.84845192800000002</v>
      </c>
      <c r="R40">
        <v>0.86692015200000005</v>
      </c>
      <c r="S40">
        <v>0.953829441</v>
      </c>
      <c r="T40" s="22">
        <v>0.76860402000000005</v>
      </c>
      <c r="U40" s="20" t="s">
        <v>143</v>
      </c>
      <c r="V40" t="s">
        <v>142</v>
      </c>
      <c r="W40">
        <v>5</v>
      </c>
      <c r="X40" s="22">
        <v>3</v>
      </c>
      <c r="Y40" s="20">
        <v>97200</v>
      </c>
      <c r="Z40">
        <v>63000</v>
      </c>
      <c r="AA40">
        <v>150300</v>
      </c>
      <c r="AB40" s="22">
        <v>31500</v>
      </c>
      <c r="AC40" s="20">
        <v>0.21348314606741572</v>
      </c>
      <c r="AD40" s="22">
        <v>0.65346534653465349</v>
      </c>
      <c r="AE40">
        <v>5.883777239709443E-2</v>
      </c>
      <c r="AF40">
        <v>3.8135593220338986E-2</v>
      </c>
      <c r="AG40">
        <v>9.6973365617433416E-2</v>
      </c>
      <c r="AH40">
        <v>9.0980629539951577E-2</v>
      </c>
      <c r="AI40">
        <v>1.9067796610169493E-2</v>
      </c>
      <c r="AJ40">
        <v>0.11004842615012107</v>
      </c>
      <c r="AM40">
        <f t="shared" si="0"/>
        <v>29.5</v>
      </c>
    </row>
    <row r="41" spans="1:39">
      <c r="A41" s="20">
        <v>295</v>
      </c>
      <c r="B41" t="s">
        <v>10</v>
      </c>
      <c r="C41" s="22" t="s">
        <v>32</v>
      </c>
      <c r="D41">
        <v>9575</v>
      </c>
      <c r="E41">
        <v>70</v>
      </c>
      <c r="F41" s="43">
        <v>136.78571428571428</v>
      </c>
      <c r="G41">
        <v>280</v>
      </c>
      <c r="H41" s="43">
        <v>0.25</v>
      </c>
      <c r="I41" s="20">
        <v>0.94007948600000002</v>
      </c>
      <c r="J41">
        <v>0.87526750200000003</v>
      </c>
      <c r="K41">
        <v>1</v>
      </c>
      <c r="L41">
        <v>1.120758178</v>
      </c>
      <c r="M41">
        <v>0.905533476</v>
      </c>
      <c r="N41">
        <v>1.1216753290000001</v>
      </c>
      <c r="O41">
        <v>0.94007948600000002</v>
      </c>
      <c r="P41">
        <v>0.86640171200000005</v>
      </c>
      <c r="Q41">
        <v>0.88535615999999995</v>
      </c>
      <c r="R41">
        <v>0.89666768600000002</v>
      </c>
      <c r="S41">
        <v>0.88780189499999995</v>
      </c>
      <c r="T41" s="22">
        <v>0.87526750200000003</v>
      </c>
      <c r="U41" s="20" t="s">
        <v>143</v>
      </c>
      <c r="V41" t="s">
        <v>142</v>
      </c>
      <c r="W41">
        <v>5</v>
      </c>
      <c r="X41" s="22">
        <v>2</v>
      </c>
      <c r="Y41" s="20">
        <v>255600</v>
      </c>
      <c r="Z41">
        <v>45000</v>
      </c>
      <c r="AA41">
        <v>156600</v>
      </c>
      <c r="AB41" s="22">
        <v>0</v>
      </c>
      <c r="AC41" s="20">
        <v>0.70059880239520955</v>
      </c>
      <c r="AD41" s="22">
        <v>1</v>
      </c>
      <c r="AE41">
        <v>9.5337560611712044E-2</v>
      </c>
      <c r="AF41">
        <v>1.6784781797836629E-2</v>
      </c>
      <c r="AG41">
        <v>0.11212234240954867</v>
      </c>
      <c r="AH41">
        <v>5.8411040656471465E-2</v>
      </c>
      <c r="AI41">
        <v>0</v>
      </c>
      <c r="AJ41">
        <v>5.8411040656471465E-2</v>
      </c>
      <c r="AM41">
        <f t="shared" si="0"/>
        <v>47.875</v>
      </c>
    </row>
    <row r="42" spans="1:39">
      <c r="A42" s="20">
        <v>296</v>
      </c>
      <c r="B42" t="s">
        <v>10</v>
      </c>
      <c r="C42" s="22" t="s">
        <v>32</v>
      </c>
      <c r="D42">
        <v>4160</v>
      </c>
      <c r="E42">
        <v>60</v>
      </c>
      <c r="F42" s="43">
        <v>69.333333333333329</v>
      </c>
      <c r="G42">
        <v>280</v>
      </c>
      <c r="H42" s="43">
        <v>0.21428571428571427</v>
      </c>
      <c r="I42" s="20">
        <v>0.83530280599999995</v>
      </c>
      <c r="J42">
        <v>0.83825701600000002</v>
      </c>
      <c r="K42">
        <v>1</v>
      </c>
      <c r="L42">
        <v>0.97710487400000001</v>
      </c>
      <c r="M42">
        <v>0.93722304300000003</v>
      </c>
      <c r="N42">
        <v>0.95642540600000003</v>
      </c>
      <c r="O42">
        <v>0.83530280599999995</v>
      </c>
      <c r="P42">
        <v>0.90472673599999998</v>
      </c>
      <c r="Q42">
        <v>0.87666174299999999</v>
      </c>
      <c r="R42">
        <v>0.858936484</v>
      </c>
      <c r="S42">
        <v>0.84416543600000005</v>
      </c>
      <c r="T42" s="22">
        <v>0.83825701600000002</v>
      </c>
      <c r="U42" s="20" t="s">
        <v>143</v>
      </c>
      <c r="V42" t="s">
        <v>142</v>
      </c>
      <c r="W42">
        <v>10</v>
      </c>
      <c r="X42" s="22">
        <v>2</v>
      </c>
      <c r="Y42" s="20">
        <v>181800</v>
      </c>
      <c r="Z42">
        <v>303300</v>
      </c>
      <c r="AA42">
        <v>49500</v>
      </c>
      <c r="AB42" s="22">
        <v>0</v>
      </c>
      <c r="AC42" s="20">
        <v>-0.2504638218923933</v>
      </c>
      <c r="AD42" s="22">
        <v>1</v>
      </c>
      <c r="AE42">
        <v>0.1560782967032967</v>
      </c>
      <c r="AF42">
        <v>0.26038804945054944</v>
      </c>
      <c r="AG42">
        <v>0.41646634615384615</v>
      </c>
      <c r="AH42">
        <v>4.2496565934065936E-2</v>
      </c>
      <c r="AI42">
        <v>0</v>
      </c>
      <c r="AJ42">
        <v>4.2496565934065936E-2</v>
      </c>
      <c r="AM42">
        <f t="shared" si="0"/>
        <v>20.8</v>
      </c>
    </row>
    <row r="43" spans="1:39">
      <c r="A43" s="20">
        <v>297</v>
      </c>
      <c r="B43" t="s">
        <v>10</v>
      </c>
      <c r="C43" s="22" t="s">
        <v>32</v>
      </c>
      <c r="D43">
        <v>4385</v>
      </c>
      <c r="E43">
        <v>50</v>
      </c>
      <c r="F43" s="43">
        <v>87.7</v>
      </c>
      <c r="G43">
        <v>260</v>
      </c>
      <c r="H43" s="43">
        <v>0.19230769230769232</v>
      </c>
      <c r="I43" s="20">
        <v>0.74906646799999999</v>
      </c>
      <c r="K43">
        <v>1</v>
      </c>
      <c r="L43">
        <v>0.98431665400000001</v>
      </c>
      <c r="M43">
        <v>0.84839432400000003</v>
      </c>
      <c r="N43">
        <v>0.72442121000000004</v>
      </c>
      <c r="O43">
        <v>0.74906646799999999</v>
      </c>
      <c r="P43">
        <v>0.82300224</v>
      </c>
      <c r="Q43">
        <v>0.75578790100000004</v>
      </c>
      <c r="R43">
        <v>0.71321882000000003</v>
      </c>
      <c r="S43">
        <v>0.65048543700000006</v>
      </c>
      <c r="T43" s="22"/>
      <c r="U43" s="20" t="s">
        <v>144</v>
      </c>
      <c r="V43" t="s">
        <v>142</v>
      </c>
      <c r="X43" s="22">
        <v>2</v>
      </c>
      <c r="Y43" s="20">
        <v>0</v>
      </c>
      <c r="Z43">
        <v>0</v>
      </c>
      <c r="AA43">
        <v>147600</v>
      </c>
      <c r="AB43" s="22">
        <v>0</v>
      </c>
      <c r="AC43" s="20" t="s">
        <v>145</v>
      </c>
      <c r="AD43" s="22">
        <v>1</v>
      </c>
      <c r="AE43">
        <v>0</v>
      </c>
      <c r="AF43">
        <v>0</v>
      </c>
      <c r="AG43">
        <v>0</v>
      </c>
      <c r="AH43">
        <v>0.12946232786597667</v>
      </c>
      <c r="AI43">
        <v>0</v>
      </c>
      <c r="AJ43">
        <v>0.12946232786597667</v>
      </c>
      <c r="AM43">
        <f t="shared" si="0"/>
        <v>21.925000000000001</v>
      </c>
    </row>
    <row r="44" spans="1:39">
      <c r="A44" s="20">
        <v>298</v>
      </c>
      <c r="B44" t="s">
        <v>12</v>
      </c>
      <c r="C44" s="22" t="s">
        <v>32</v>
      </c>
      <c r="D44">
        <v>5150</v>
      </c>
      <c r="E44">
        <v>650</v>
      </c>
      <c r="F44" s="43">
        <v>7.9230769230769234</v>
      </c>
      <c r="G44">
        <v>260</v>
      </c>
      <c r="H44" s="43">
        <v>2.5</v>
      </c>
      <c r="I44" s="20">
        <v>0.919774011</v>
      </c>
      <c r="J44">
        <v>0.64463276800000002</v>
      </c>
      <c r="K44">
        <v>1</v>
      </c>
      <c r="L44">
        <v>1.0220338980000001</v>
      </c>
      <c r="M44">
        <v>0.98644067800000002</v>
      </c>
      <c r="N44">
        <v>0.95</v>
      </c>
      <c r="O44">
        <v>0.919774011</v>
      </c>
      <c r="P44">
        <v>0.93446327699999998</v>
      </c>
      <c r="Q44">
        <v>0.84915254200000001</v>
      </c>
      <c r="R44">
        <v>0.818644068</v>
      </c>
      <c r="S44">
        <v>0.73220339000000001</v>
      </c>
      <c r="T44" s="22">
        <v>0.64463276800000002</v>
      </c>
      <c r="U44" s="20" t="s">
        <v>142</v>
      </c>
      <c r="V44" t="s">
        <v>142</v>
      </c>
      <c r="W44">
        <v>3</v>
      </c>
      <c r="X44" s="22">
        <v>9</v>
      </c>
      <c r="Y44" s="20">
        <v>453600</v>
      </c>
      <c r="Z44">
        <v>18900</v>
      </c>
      <c r="AA44">
        <v>173700</v>
      </c>
      <c r="AB44" s="22">
        <v>0</v>
      </c>
      <c r="AC44" s="20">
        <v>0.92</v>
      </c>
      <c r="AD44" s="22">
        <v>1</v>
      </c>
      <c r="AE44">
        <v>0.33876026885735622</v>
      </c>
      <c r="AF44">
        <v>1.4115011202389843E-2</v>
      </c>
      <c r="AG44">
        <v>0.35287528005974605</v>
      </c>
      <c r="AH44">
        <v>0.12972367438386856</v>
      </c>
      <c r="AI44">
        <v>0</v>
      </c>
      <c r="AJ44">
        <v>0.12972367438386856</v>
      </c>
      <c r="AM44">
        <f t="shared" si="0"/>
        <v>25.75</v>
      </c>
    </row>
    <row r="45" spans="1:39">
      <c r="A45" s="20">
        <v>299</v>
      </c>
      <c r="B45" t="s">
        <v>12</v>
      </c>
      <c r="C45" s="22" t="s">
        <v>32</v>
      </c>
      <c r="D45">
        <v>5345</v>
      </c>
      <c r="E45">
        <v>315</v>
      </c>
      <c r="F45" s="43">
        <v>16.968253968253968</v>
      </c>
      <c r="G45">
        <v>260</v>
      </c>
      <c r="H45" s="43">
        <v>1.2115384615384615</v>
      </c>
      <c r="I45" s="20">
        <v>0.96823716299999996</v>
      </c>
      <c r="J45">
        <v>0.73636844899999998</v>
      </c>
      <c r="K45">
        <v>1</v>
      </c>
      <c r="L45">
        <v>1.0508205399999999</v>
      </c>
      <c r="M45">
        <v>0.98517734300000004</v>
      </c>
      <c r="N45">
        <v>0.97</v>
      </c>
      <c r="O45">
        <v>0.96823716299999996</v>
      </c>
      <c r="P45">
        <v>0.91635786100000005</v>
      </c>
      <c r="Q45">
        <v>0.72631021699999998</v>
      </c>
      <c r="R45">
        <v>0.70831127599999999</v>
      </c>
      <c r="S45">
        <v>0.74325039699999995</v>
      </c>
      <c r="T45" s="22">
        <v>0.73636844899999998</v>
      </c>
      <c r="U45" s="20" t="s">
        <v>142</v>
      </c>
      <c r="V45" t="s">
        <v>144</v>
      </c>
      <c r="W45">
        <v>18</v>
      </c>
      <c r="X45" s="22"/>
      <c r="Y45" s="20">
        <v>662400</v>
      </c>
      <c r="Z45">
        <v>124200</v>
      </c>
      <c r="AA45">
        <v>0</v>
      </c>
      <c r="AB45" s="22">
        <v>0</v>
      </c>
      <c r="AC45" s="20">
        <v>0.68421052631578949</v>
      </c>
      <c r="AD45" s="22" t="s">
        <v>145</v>
      </c>
      <c r="AE45">
        <v>0.47664963661221849</v>
      </c>
      <c r="AF45">
        <v>8.9371806864790959E-2</v>
      </c>
      <c r="AG45">
        <v>0.56602144347700944</v>
      </c>
      <c r="AH45">
        <v>0</v>
      </c>
      <c r="AI45">
        <v>0</v>
      </c>
      <c r="AJ45">
        <v>0</v>
      </c>
      <c r="AM45">
        <f t="shared" si="0"/>
        <v>26.725000000000001</v>
      </c>
    </row>
    <row r="46" spans="1:39">
      <c r="A46" s="20">
        <v>300</v>
      </c>
      <c r="B46" t="s">
        <v>12</v>
      </c>
      <c r="C46" s="22" t="s">
        <v>32</v>
      </c>
      <c r="D46">
        <v>10530</v>
      </c>
      <c r="E46">
        <v>3855</v>
      </c>
      <c r="F46" s="43">
        <v>2.7315175097276265</v>
      </c>
      <c r="G46">
        <v>260</v>
      </c>
      <c r="H46" s="43">
        <v>14.826923076923077</v>
      </c>
      <c r="I46" s="20">
        <v>0.58794000000000002</v>
      </c>
      <c r="J46">
        <v>0.18521000000000001</v>
      </c>
      <c r="K46">
        <v>1</v>
      </c>
      <c r="L46">
        <v>0.91215000000000002</v>
      </c>
      <c r="M46">
        <v>0.84711999999999998</v>
      </c>
      <c r="N46">
        <v>0.71592</v>
      </c>
      <c r="O46">
        <v>0.58794000000000002</v>
      </c>
      <c r="P46">
        <v>0.53356000000000003</v>
      </c>
      <c r="Q46">
        <v>0.57957999999999998</v>
      </c>
      <c r="R46">
        <v>0.47460999999999998</v>
      </c>
      <c r="S46">
        <v>0.31755</v>
      </c>
      <c r="T46" s="22">
        <v>0.18521000000000001</v>
      </c>
      <c r="U46" s="20" t="s">
        <v>142</v>
      </c>
      <c r="V46" t="s">
        <v>144</v>
      </c>
      <c r="W46">
        <v>12</v>
      </c>
      <c r="X46" s="22"/>
      <c r="Y46" s="20">
        <v>2289600</v>
      </c>
      <c r="Z46">
        <v>41400</v>
      </c>
      <c r="AA46">
        <v>0</v>
      </c>
      <c r="AB46" s="22">
        <v>0</v>
      </c>
      <c r="AC46" s="20">
        <v>0.96447876447876446</v>
      </c>
      <c r="AD46" s="22" t="s">
        <v>145</v>
      </c>
      <c r="AE46">
        <v>0.83629191321499019</v>
      </c>
      <c r="AF46">
        <v>1.5121630506245891E-2</v>
      </c>
      <c r="AG46">
        <v>0.85141354372123612</v>
      </c>
      <c r="AH46">
        <v>0</v>
      </c>
      <c r="AI46">
        <v>0</v>
      </c>
      <c r="AJ46">
        <v>0</v>
      </c>
      <c r="AM46">
        <f t="shared" si="0"/>
        <v>52.65</v>
      </c>
    </row>
    <row r="47" spans="1:39">
      <c r="A47" s="20">
        <v>301</v>
      </c>
      <c r="B47" t="s">
        <v>10</v>
      </c>
      <c r="C47" s="22" t="s">
        <v>32</v>
      </c>
      <c r="D47">
        <v>3345</v>
      </c>
      <c r="E47">
        <v>90</v>
      </c>
      <c r="F47" s="43">
        <v>37.166666666666664</v>
      </c>
      <c r="G47">
        <v>340</v>
      </c>
      <c r="H47" s="43">
        <v>0.26470588235294118</v>
      </c>
      <c r="I47" s="20">
        <v>0.93092105300000005</v>
      </c>
      <c r="J47">
        <v>0.77960526299999999</v>
      </c>
      <c r="K47">
        <v>1</v>
      </c>
      <c r="L47">
        <v>0.96710526299999999</v>
      </c>
      <c r="M47">
        <v>0.99890350900000002</v>
      </c>
      <c r="N47">
        <v>0.962719298</v>
      </c>
      <c r="O47">
        <v>0.93092105300000005</v>
      </c>
      <c r="P47">
        <v>0.76754385999999997</v>
      </c>
      <c r="Q47">
        <v>0.83991228100000004</v>
      </c>
      <c r="R47">
        <v>0.79495614000000003</v>
      </c>
      <c r="S47">
        <v>0.85197368399999995</v>
      </c>
      <c r="T47" s="22">
        <v>0.77960526299999999</v>
      </c>
      <c r="U47" s="20" t="s">
        <v>143</v>
      </c>
      <c r="V47" t="s">
        <v>142</v>
      </c>
      <c r="W47">
        <v>21</v>
      </c>
      <c r="X47" s="22">
        <v>5</v>
      </c>
      <c r="Y47" s="20">
        <v>75600</v>
      </c>
      <c r="Z47">
        <v>81900</v>
      </c>
      <c r="AA47">
        <v>100800</v>
      </c>
      <c r="AB47" s="22">
        <v>24300</v>
      </c>
      <c r="AC47" s="20">
        <v>-0.04</v>
      </c>
      <c r="AD47" s="22">
        <v>0.61151079136690645</v>
      </c>
      <c r="AE47">
        <v>6.6473226061725135E-2</v>
      </c>
      <c r="AF47">
        <v>7.2012661566868905E-2</v>
      </c>
      <c r="AG47">
        <v>0.13848588762859404</v>
      </c>
      <c r="AH47">
        <v>8.8630968082300185E-2</v>
      </c>
      <c r="AI47">
        <v>2.1366394091268795E-2</v>
      </c>
      <c r="AJ47">
        <v>0.10999736217356898</v>
      </c>
      <c r="AM47">
        <f t="shared" si="0"/>
        <v>16.725000000000001</v>
      </c>
    </row>
    <row r="48" spans="1:39">
      <c r="A48" s="20">
        <v>303</v>
      </c>
      <c r="B48" t="s">
        <v>10</v>
      </c>
      <c r="C48" s="22" t="s">
        <v>32</v>
      </c>
      <c r="D48">
        <v>2650</v>
      </c>
      <c r="E48">
        <v>120</v>
      </c>
      <c r="F48" s="43">
        <v>22.083333333333332</v>
      </c>
      <c r="G48">
        <v>300</v>
      </c>
      <c r="H48" s="43">
        <v>0.4</v>
      </c>
      <c r="I48" s="20">
        <v>0.64531249999999996</v>
      </c>
      <c r="J48">
        <v>0.70937499999999998</v>
      </c>
      <c r="K48">
        <v>1</v>
      </c>
      <c r="L48">
        <v>1.0984375</v>
      </c>
      <c r="M48">
        <v>0.8</v>
      </c>
      <c r="N48">
        <v>0.91562500000000002</v>
      </c>
      <c r="O48">
        <v>0.64531249999999996</v>
      </c>
      <c r="P48">
        <v>0.6953125</v>
      </c>
      <c r="Q48">
        <v>0.78749999999999998</v>
      </c>
      <c r="R48">
        <v>0.73906249999999996</v>
      </c>
      <c r="S48">
        <v>0.73124999999999996</v>
      </c>
      <c r="T48" s="22">
        <v>0.70937499999999998</v>
      </c>
      <c r="U48" s="20" t="s">
        <v>142</v>
      </c>
      <c r="V48" t="s">
        <v>143</v>
      </c>
      <c r="W48">
        <v>2</v>
      </c>
      <c r="X48" s="22">
        <v>9</v>
      </c>
      <c r="Y48" s="20">
        <v>88200</v>
      </c>
      <c r="Z48">
        <v>9000</v>
      </c>
      <c r="AA48">
        <v>45900</v>
      </c>
      <c r="AB48" s="22">
        <v>10800</v>
      </c>
      <c r="AC48" s="20">
        <v>0.81481481481481477</v>
      </c>
      <c r="AD48" s="22">
        <v>0.61904761904761907</v>
      </c>
      <c r="AE48">
        <v>0.11094339622641509</v>
      </c>
      <c r="AF48">
        <v>1.1320754716981131E-2</v>
      </c>
      <c r="AG48">
        <v>0.12226415094339622</v>
      </c>
      <c r="AH48">
        <v>5.7735849056603776E-2</v>
      </c>
      <c r="AI48">
        <v>1.3584905660377358E-2</v>
      </c>
      <c r="AJ48">
        <v>7.1320754716981127E-2</v>
      </c>
      <c r="AM48">
        <f t="shared" si="0"/>
        <v>13.25</v>
      </c>
    </row>
    <row r="49" spans="1:39">
      <c r="A49" s="20">
        <v>304</v>
      </c>
      <c r="B49" t="s">
        <v>10</v>
      </c>
      <c r="C49" s="22" t="s">
        <v>32</v>
      </c>
      <c r="D49">
        <v>6090</v>
      </c>
      <c r="E49">
        <v>190</v>
      </c>
      <c r="F49" s="43">
        <v>32.05263157894737</v>
      </c>
      <c r="G49">
        <v>300</v>
      </c>
      <c r="H49" s="43">
        <v>0.6333333333333333</v>
      </c>
      <c r="I49" s="20">
        <v>1.138095238</v>
      </c>
      <c r="J49">
        <v>0.84920634900000003</v>
      </c>
      <c r="K49">
        <v>1</v>
      </c>
      <c r="L49">
        <v>1.1497354500000001</v>
      </c>
      <c r="M49">
        <v>1.1566137569999999</v>
      </c>
      <c r="N49">
        <v>1.1399999999999999</v>
      </c>
      <c r="O49">
        <v>1.138095238</v>
      </c>
      <c r="P49">
        <v>1</v>
      </c>
      <c r="Q49">
        <v>0.84920634900000003</v>
      </c>
      <c r="R49">
        <v>0.85396825399999998</v>
      </c>
      <c r="S49">
        <v>0.91481481499999995</v>
      </c>
      <c r="T49" s="22">
        <v>0.84920634900000003</v>
      </c>
      <c r="U49" s="20" t="s">
        <v>143</v>
      </c>
      <c r="V49" t="s">
        <v>142</v>
      </c>
      <c r="W49">
        <v>5</v>
      </c>
      <c r="X49" s="22">
        <v>8</v>
      </c>
      <c r="Y49" s="20">
        <v>171000</v>
      </c>
      <c r="Z49">
        <v>63900</v>
      </c>
      <c r="AA49">
        <v>226800</v>
      </c>
      <c r="AB49" s="22">
        <v>0</v>
      </c>
      <c r="AC49" s="20">
        <v>0.45593869731800768</v>
      </c>
      <c r="AD49" s="22">
        <v>1</v>
      </c>
      <c r="AE49">
        <v>9.3596059113300489E-2</v>
      </c>
      <c r="AF49">
        <v>3.4975369458128076E-2</v>
      </c>
      <c r="AG49">
        <v>0.12857142857142856</v>
      </c>
      <c r="AH49">
        <v>0.12413793103448276</v>
      </c>
      <c r="AI49">
        <v>0</v>
      </c>
      <c r="AJ49">
        <v>0.12413793103448276</v>
      </c>
      <c r="AM49">
        <f t="shared" si="0"/>
        <v>30.45</v>
      </c>
    </row>
    <row r="50" spans="1:39">
      <c r="A50" s="20">
        <v>305</v>
      </c>
      <c r="B50" t="s">
        <v>12</v>
      </c>
      <c r="C50" s="22" t="s">
        <v>32</v>
      </c>
      <c r="D50">
        <v>5580</v>
      </c>
      <c r="E50">
        <v>500</v>
      </c>
      <c r="F50" s="43">
        <v>11.16</v>
      </c>
      <c r="G50">
        <v>300</v>
      </c>
      <c r="H50" s="43">
        <v>1.6666666666666667</v>
      </c>
      <c r="I50" s="20">
        <v>0.94043679700000005</v>
      </c>
      <c r="J50">
        <v>0.494374586</v>
      </c>
      <c r="K50">
        <v>1</v>
      </c>
      <c r="L50">
        <v>1.060225017</v>
      </c>
      <c r="M50">
        <v>0.89609530100000001</v>
      </c>
      <c r="N50">
        <v>1.017868961</v>
      </c>
      <c r="O50">
        <v>0.94043679700000005</v>
      </c>
      <c r="P50">
        <v>0.93183322300000004</v>
      </c>
      <c r="Q50">
        <v>0.83057577800000004</v>
      </c>
      <c r="R50">
        <v>0.80277961600000003</v>
      </c>
      <c r="S50">
        <v>0.63136995399999996</v>
      </c>
      <c r="T50" s="22">
        <v>0.494374586</v>
      </c>
      <c r="U50" s="20" t="s">
        <v>142</v>
      </c>
      <c r="V50" t="s">
        <v>142</v>
      </c>
      <c r="W50">
        <v>4</v>
      </c>
      <c r="X50" s="22">
        <v>8</v>
      </c>
      <c r="Y50" s="20">
        <v>263700</v>
      </c>
      <c r="Z50">
        <v>2700</v>
      </c>
      <c r="AA50">
        <v>601200</v>
      </c>
      <c r="AB50" s="22">
        <v>900</v>
      </c>
      <c r="AC50" s="20">
        <v>0.97972972972972971</v>
      </c>
      <c r="AD50" s="22">
        <v>0.99701046337817634</v>
      </c>
      <c r="AE50">
        <v>0.15752688172043011</v>
      </c>
      <c r="AF50">
        <v>1.6129032258064516E-3</v>
      </c>
      <c r="AG50">
        <v>0.15913978494623657</v>
      </c>
      <c r="AH50">
        <v>0.35913978494623655</v>
      </c>
      <c r="AI50">
        <v>5.3763440860215054E-4</v>
      </c>
      <c r="AJ50">
        <v>0.35967741935483871</v>
      </c>
      <c r="AM50">
        <f t="shared" si="0"/>
        <v>27.9</v>
      </c>
    </row>
    <row r="51" spans="1:39">
      <c r="A51" s="20">
        <v>306</v>
      </c>
      <c r="B51" t="s">
        <v>12</v>
      </c>
      <c r="C51" s="22" t="s">
        <v>32</v>
      </c>
      <c r="D51">
        <v>6680</v>
      </c>
      <c r="E51">
        <v>350</v>
      </c>
      <c r="F51" s="43">
        <v>19.085714285714285</v>
      </c>
      <c r="G51">
        <v>260</v>
      </c>
      <c r="H51" s="43">
        <v>1.3461538461538463</v>
      </c>
      <c r="I51" s="20">
        <v>1.0795805060000001</v>
      </c>
      <c r="J51">
        <v>0.460209747</v>
      </c>
      <c r="K51">
        <v>1</v>
      </c>
      <c r="L51">
        <v>0.99938309700000005</v>
      </c>
      <c r="M51">
        <v>0.99444787199999995</v>
      </c>
      <c r="N51">
        <v>0.97964219600000002</v>
      </c>
      <c r="O51">
        <v>1.0795805060000001</v>
      </c>
      <c r="P51">
        <v>1.00987045</v>
      </c>
      <c r="Q51">
        <v>0.75632325700000003</v>
      </c>
      <c r="R51">
        <v>0.84824182599999998</v>
      </c>
      <c r="S51">
        <v>0.56570018499999997</v>
      </c>
      <c r="T51" s="22">
        <v>0.460209747</v>
      </c>
      <c r="U51" s="20" t="s">
        <v>142</v>
      </c>
      <c r="V51" t="s">
        <v>142</v>
      </c>
      <c r="W51">
        <v>5</v>
      </c>
      <c r="X51" s="22">
        <v>8</v>
      </c>
      <c r="Y51" s="20">
        <v>610200</v>
      </c>
      <c r="Z51">
        <v>41400</v>
      </c>
      <c r="AA51">
        <v>300600</v>
      </c>
      <c r="AB51" s="22">
        <v>0</v>
      </c>
      <c r="AC51" s="20">
        <v>0.8729281767955801</v>
      </c>
      <c r="AD51" s="22">
        <v>1</v>
      </c>
      <c r="AE51">
        <v>0.35133578995854448</v>
      </c>
      <c r="AF51">
        <v>2.3836941501612162E-2</v>
      </c>
      <c r="AG51">
        <v>0.37517273146015662</v>
      </c>
      <c r="AH51">
        <v>0.17307692307692307</v>
      </c>
      <c r="AI51">
        <v>0</v>
      </c>
      <c r="AJ51">
        <v>0.17307692307692307</v>
      </c>
      <c r="AM51">
        <f t="shared" si="0"/>
        <v>33.4</v>
      </c>
    </row>
    <row r="52" spans="1:39">
      <c r="A52" s="20">
        <v>310</v>
      </c>
      <c r="B52" t="s">
        <v>10</v>
      </c>
      <c r="C52" s="22" t="s">
        <v>34</v>
      </c>
      <c r="D52">
        <v>5255</v>
      </c>
      <c r="E52">
        <v>118</v>
      </c>
      <c r="F52" s="43">
        <v>44.533898305084747</v>
      </c>
      <c r="G52">
        <v>260</v>
      </c>
      <c r="H52" s="43">
        <v>0.45384615384615384</v>
      </c>
      <c r="I52" s="20">
        <v>0.79134199100000002</v>
      </c>
      <c r="J52">
        <v>0.81471861499999998</v>
      </c>
      <c r="K52">
        <v>1</v>
      </c>
      <c r="L52">
        <v>0.90562770599999998</v>
      </c>
      <c r="M52">
        <v>0.95064935100000003</v>
      </c>
      <c r="N52">
        <v>0.84155844199999996</v>
      </c>
      <c r="O52">
        <v>0.79134199100000002</v>
      </c>
      <c r="P52">
        <v>0.82597402600000003</v>
      </c>
      <c r="Q52">
        <v>0.81645021600000001</v>
      </c>
      <c r="R52">
        <v>0.81991342</v>
      </c>
      <c r="S52">
        <v>0.821645022</v>
      </c>
      <c r="T52" s="22">
        <v>0.81471861499999998</v>
      </c>
      <c r="U52" s="20" t="s">
        <v>144</v>
      </c>
      <c r="V52" t="s">
        <v>142</v>
      </c>
      <c r="X52" s="22">
        <v>10</v>
      </c>
      <c r="Y52" s="20">
        <v>0</v>
      </c>
      <c r="Z52">
        <v>0</v>
      </c>
      <c r="AA52">
        <v>134100</v>
      </c>
      <c r="AB52" s="22">
        <v>0</v>
      </c>
      <c r="AC52" s="20" t="s">
        <v>145</v>
      </c>
      <c r="AD52" s="22">
        <v>1</v>
      </c>
      <c r="AE52">
        <v>0</v>
      </c>
      <c r="AF52">
        <v>0</v>
      </c>
      <c r="AG52">
        <v>0</v>
      </c>
      <c r="AH52">
        <v>9.8148283685866936E-2</v>
      </c>
      <c r="AI52">
        <v>0</v>
      </c>
      <c r="AJ52">
        <v>9.8148283685866936E-2</v>
      </c>
      <c r="AM52">
        <f t="shared" si="0"/>
        <v>26.274999999999999</v>
      </c>
    </row>
    <row r="53" spans="1:39">
      <c r="A53" s="20">
        <v>335</v>
      </c>
      <c r="B53" t="s">
        <v>12</v>
      </c>
      <c r="C53" s="22" t="s">
        <v>22</v>
      </c>
      <c r="D53">
        <v>13100</v>
      </c>
      <c r="E53">
        <v>6120</v>
      </c>
      <c r="F53" s="43">
        <v>2.1405228758169934</v>
      </c>
      <c r="G53">
        <v>740</v>
      </c>
      <c r="H53" s="43">
        <v>8.2702702702702702</v>
      </c>
      <c r="I53" s="20">
        <v>0.75243000000000004</v>
      </c>
      <c r="J53">
        <v>0.59602999999999995</v>
      </c>
      <c r="K53">
        <v>1</v>
      </c>
      <c r="L53">
        <v>0.51198999999999995</v>
      </c>
      <c r="M53">
        <v>0.72067000000000003</v>
      </c>
      <c r="N53">
        <v>0.44416</v>
      </c>
      <c r="O53">
        <v>0.75243000000000004</v>
      </c>
      <c r="P53">
        <v>0.66903999999999997</v>
      </c>
      <c r="Q53">
        <v>0.50702000000000003</v>
      </c>
      <c r="R53">
        <v>0.37805</v>
      </c>
      <c r="S53">
        <v>0.43314000000000002</v>
      </c>
      <c r="T53" s="22">
        <v>0.59602999999999995</v>
      </c>
      <c r="U53" s="20" t="s">
        <v>143</v>
      </c>
      <c r="V53" t="s">
        <v>142</v>
      </c>
      <c r="W53">
        <v>1</v>
      </c>
      <c r="X53" s="22">
        <v>6</v>
      </c>
      <c r="Y53" s="20">
        <v>1667700</v>
      </c>
      <c r="Z53">
        <v>186300</v>
      </c>
      <c r="AA53">
        <v>1132200</v>
      </c>
      <c r="AB53" s="22">
        <v>9000</v>
      </c>
      <c r="AC53" s="20">
        <v>0.79902912621359223</v>
      </c>
      <c r="AD53" s="22">
        <v>0.98422712933753942</v>
      </c>
      <c r="AE53">
        <v>0.17203424798844646</v>
      </c>
      <c r="AF53">
        <v>1.9218073034866928E-2</v>
      </c>
      <c r="AG53">
        <v>0.19125232102331338</v>
      </c>
      <c r="AH53">
        <v>0.116793893129771</v>
      </c>
      <c r="AI53">
        <v>9.2840932535589028E-4</v>
      </c>
      <c r="AJ53">
        <v>0.11772230245512688</v>
      </c>
      <c r="AM53">
        <f t="shared" si="0"/>
        <v>65.5</v>
      </c>
    </row>
    <row r="54" spans="1:39">
      <c r="A54" s="20">
        <v>341</v>
      </c>
      <c r="B54" t="s">
        <v>12</v>
      </c>
      <c r="C54" s="22" t="s">
        <v>22</v>
      </c>
      <c r="D54">
        <v>20390</v>
      </c>
      <c r="E54">
        <v>3365</v>
      </c>
      <c r="F54" s="43">
        <v>6.0594353640416045</v>
      </c>
      <c r="G54">
        <v>600</v>
      </c>
      <c r="H54" s="43">
        <v>5.6083333333333334</v>
      </c>
      <c r="I54" s="20">
        <v>0.54205999999999999</v>
      </c>
      <c r="J54">
        <v>0.61365999999999998</v>
      </c>
      <c r="K54">
        <v>1</v>
      </c>
      <c r="L54">
        <v>0.47926000000000002</v>
      </c>
      <c r="M54">
        <v>0.51275000000000004</v>
      </c>
      <c r="N54">
        <v>0.50043000000000004</v>
      </c>
      <c r="O54">
        <v>0.54205999999999999</v>
      </c>
      <c r="P54">
        <v>0.53427999999999998</v>
      </c>
      <c r="Q54">
        <v>0.61380000000000001</v>
      </c>
      <c r="R54">
        <v>0.50007000000000001</v>
      </c>
      <c r="S54">
        <v>0.64303999999999994</v>
      </c>
      <c r="T54" s="22">
        <v>0.61365999999999998</v>
      </c>
      <c r="U54" s="20" t="s">
        <v>142</v>
      </c>
      <c r="V54" t="s">
        <v>142</v>
      </c>
      <c r="W54">
        <v>1</v>
      </c>
      <c r="X54" s="22">
        <v>7</v>
      </c>
      <c r="Y54" s="20">
        <v>3468600</v>
      </c>
      <c r="Z54">
        <v>0</v>
      </c>
      <c r="AA54">
        <v>2715300</v>
      </c>
      <c r="AB54" s="22">
        <v>0</v>
      </c>
      <c r="AC54" s="20">
        <v>1</v>
      </c>
      <c r="AD54" s="22">
        <v>1</v>
      </c>
      <c r="AE54">
        <v>0.28352133398724866</v>
      </c>
      <c r="AF54">
        <v>0</v>
      </c>
      <c r="AG54">
        <v>0.28352133398724866</v>
      </c>
      <c r="AH54">
        <v>0.22194703285924472</v>
      </c>
      <c r="AI54">
        <v>0</v>
      </c>
      <c r="AJ54">
        <v>0.22194703285924472</v>
      </c>
      <c r="AM54">
        <f t="shared" si="0"/>
        <v>101.95</v>
      </c>
    </row>
    <row r="55" spans="1:39">
      <c r="A55" s="20">
        <v>342</v>
      </c>
      <c r="B55" t="s">
        <v>12</v>
      </c>
      <c r="C55" s="22" t="s">
        <v>22</v>
      </c>
      <c r="D55">
        <v>17710</v>
      </c>
      <c r="E55">
        <v>4340</v>
      </c>
      <c r="F55" s="43">
        <v>4.080645161290323</v>
      </c>
      <c r="G55">
        <v>680</v>
      </c>
      <c r="H55" s="43">
        <v>6.382352941176471</v>
      </c>
      <c r="I55" s="20">
        <v>0.57638704900000004</v>
      </c>
      <c r="J55">
        <v>0.46955646200000001</v>
      </c>
      <c r="K55">
        <v>1</v>
      </c>
      <c r="L55">
        <v>0.78925335200000002</v>
      </c>
      <c r="M55">
        <v>0.68777489300000005</v>
      </c>
      <c r="N55">
        <v>0.62460918899999995</v>
      </c>
      <c r="O55">
        <v>0.57638704900000004</v>
      </c>
      <c r="P55">
        <v>0.52143500600000003</v>
      </c>
      <c r="Q55">
        <v>0.48826241300000001</v>
      </c>
      <c r="R55">
        <v>0.45572571699999997</v>
      </c>
      <c r="S55">
        <v>0.47671029599999998</v>
      </c>
      <c r="T55" s="22">
        <v>0.46955646200000001</v>
      </c>
      <c r="U55" s="20" t="s">
        <v>143</v>
      </c>
      <c r="V55">
        <v>0</v>
      </c>
      <c r="W55">
        <v>3</v>
      </c>
      <c r="X55" s="22">
        <v>0</v>
      </c>
      <c r="Y55" s="20">
        <v>3609000</v>
      </c>
      <c r="Z55">
        <v>1328400</v>
      </c>
      <c r="AA55">
        <v>0</v>
      </c>
      <c r="AB55" s="22">
        <v>0</v>
      </c>
      <c r="AC55" s="20">
        <v>0.46190302588406856</v>
      </c>
      <c r="AD55" s="22" t="s">
        <v>145</v>
      </c>
      <c r="AE55">
        <v>0.29968113727704521</v>
      </c>
      <c r="AF55">
        <v>0.11030657322217424</v>
      </c>
      <c r="AG55">
        <v>0.40998771049921945</v>
      </c>
      <c r="AH55">
        <v>0</v>
      </c>
      <c r="AI55">
        <v>0</v>
      </c>
      <c r="AJ55">
        <v>0</v>
      </c>
      <c r="AM55">
        <f t="shared" si="0"/>
        <v>88.55</v>
      </c>
    </row>
    <row r="56" spans="1:39">
      <c r="A56" s="20">
        <v>370</v>
      </c>
      <c r="B56" t="s">
        <v>10</v>
      </c>
      <c r="C56" s="22" t="s">
        <v>36</v>
      </c>
      <c r="D56">
        <v>8845</v>
      </c>
      <c r="E56">
        <v>180</v>
      </c>
      <c r="F56" s="43">
        <v>49.138888888888886</v>
      </c>
      <c r="G56">
        <v>400</v>
      </c>
      <c r="H56" s="43">
        <v>0.45</v>
      </c>
      <c r="I56" s="20">
        <v>0.61121049500000002</v>
      </c>
      <c r="J56">
        <v>0.508944544</v>
      </c>
      <c r="K56">
        <v>1</v>
      </c>
      <c r="L56">
        <v>0.37895050699999999</v>
      </c>
      <c r="M56">
        <v>0.84138342300000002</v>
      </c>
      <c r="N56">
        <v>0.67501490799999997</v>
      </c>
      <c r="O56">
        <v>0.61121049500000002</v>
      </c>
      <c r="P56">
        <v>0.96243291600000003</v>
      </c>
      <c r="Q56">
        <v>0.61150864599999999</v>
      </c>
      <c r="R56">
        <v>0.532796661</v>
      </c>
      <c r="S56">
        <v>1.1574239710000001</v>
      </c>
      <c r="T56" s="22">
        <v>0.508944544</v>
      </c>
      <c r="U56" s="20" t="s">
        <v>143</v>
      </c>
      <c r="V56" t="s">
        <v>143</v>
      </c>
      <c r="W56">
        <v>2</v>
      </c>
      <c r="X56" s="22">
        <v>2</v>
      </c>
      <c r="Y56" s="20">
        <v>238500</v>
      </c>
      <c r="Z56">
        <v>248400</v>
      </c>
      <c r="AA56">
        <v>147600</v>
      </c>
      <c r="AB56" s="22">
        <v>260100</v>
      </c>
      <c r="AC56" s="20">
        <v>-2.0332717190388171E-2</v>
      </c>
      <c r="AD56" s="22">
        <v>-0.27593818984547464</v>
      </c>
      <c r="AE56">
        <v>6.7410966647823631E-2</v>
      </c>
      <c r="AF56">
        <v>7.0209157716223852E-2</v>
      </c>
      <c r="AG56">
        <v>0.13762012436404747</v>
      </c>
      <c r="AH56">
        <v>4.1718485019785187E-2</v>
      </c>
      <c r="AI56">
        <v>7.3516110797060483E-2</v>
      </c>
      <c r="AJ56">
        <v>0.11523459581684567</v>
      </c>
      <c r="AM56">
        <f t="shared" si="0"/>
        <v>44.225000000000001</v>
      </c>
    </row>
    <row r="57" spans="1:39">
      <c r="A57" s="20">
        <v>375</v>
      </c>
      <c r="B57" t="s">
        <v>12</v>
      </c>
      <c r="C57" s="22" t="s">
        <v>37</v>
      </c>
      <c r="D57">
        <v>3000</v>
      </c>
      <c r="E57">
        <v>930</v>
      </c>
      <c r="F57" s="43">
        <v>3.225806451612903</v>
      </c>
      <c r="G57">
        <v>200</v>
      </c>
      <c r="H57" s="43">
        <v>4.6500000000000004</v>
      </c>
      <c r="I57" s="20">
        <v>0.98137802600000001</v>
      </c>
      <c r="J57">
        <v>0.84171322199999998</v>
      </c>
      <c r="K57">
        <v>1</v>
      </c>
      <c r="L57">
        <v>0.97765363100000002</v>
      </c>
      <c r="M57">
        <v>0.98696461800000002</v>
      </c>
      <c r="N57">
        <v>0.98137802600000001</v>
      </c>
      <c r="O57">
        <v>0.98137802600000001</v>
      </c>
      <c r="P57">
        <v>0.96834264400000003</v>
      </c>
      <c r="Q57">
        <v>0.94227188100000003</v>
      </c>
      <c r="R57">
        <v>0.93854748600000004</v>
      </c>
      <c r="S57">
        <v>0.88</v>
      </c>
      <c r="T57" s="22">
        <v>0.84171322199999998</v>
      </c>
      <c r="U57" s="20" t="s">
        <v>142</v>
      </c>
      <c r="V57" t="s">
        <v>144</v>
      </c>
      <c r="W57">
        <v>28</v>
      </c>
      <c r="X57" s="22"/>
      <c r="Y57" s="20">
        <v>164700</v>
      </c>
      <c r="Z57">
        <v>0</v>
      </c>
      <c r="AA57">
        <v>0</v>
      </c>
      <c r="AB57" s="22">
        <v>0</v>
      </c>
      <c r="AC57" s="20">
        <v>1</v>
      </c>
      <c r="AD57" s="22" t="s">
        <v>145</v>
      </c>
      <c r="AE57">
        <v>0.27450000000000002</v>
      </c>
      <c r="AF57">
        <v>0</v>
      </c>
      <c r="AG57">
        <v>0.27450000000000002</v>
      </c>
      <c r="AH57">
        <v>0</v>
      </c>
      <c r="AI57">
        <v>0</v>
      </c>
      <c r="AJ57">
        <v>0</v>
      </c>
      <c r="AM57">
        <f t="shared" si="0"/>
        <v>15</v>
      </c>
    </row>
    <row r="58" spans="1:39">
      <c r="A58" s="20">
        <v>377</v>
      </c>
      <c r="B58" t="s">
        <v>12</v>
      </c>
      <c r="C58" s="22" t="s">
        <v>37</v>
      </c>
      <c r="D58">
        <v>4490</v>
      </c>
      <c r="E58">
        <v>1025</v>
      </c>
      <c r="F58" s="43">
        <v>4.3804878048780491</v>
      </c>
      <c r="G58">
        <v>200</v>
      </c>
      <c r="H58" s="43">
        <v>5.125</v>
      </c>
      <c r="I58" s="20">
        <v>0.56298999999999999</v>
      </c>
      <c r="J58">
        <v>0.36088999999999999</v>
      </c>
      <c r="K58">
        <v>1</v>
      </c>
      <c r="L58">
        <v>0.9</v>
      </c>
      <c r="M58">
        <v>0.79790000000000005</v>
      </c>
      <c r="N58">
        <v>1.1889799999999999</v>
      </c>
      <c r="O58">
        <v>0.56298999999999999</v>
      </c>
      <c r="P58">
        <v>0.39239000000000002</v>
      </c>
      <c r="Q58">
        <v>0.84382999999999997</v>
      </c>
      <c r="R58">
        <v>0.28345999999999999</v>
      </c>
      <c r="S58">
        <v>0.29396</v>
      </c>
      <c r="T58" s="22">
        <v>0.36088999999999999</v>
      </c>
      <c r="U58" s="20" t="s">
        <v>142</v>
      </c>
      <c r="V58" t="s">
        <v>142</v>
      </c>
      <c r="W58">
        <v>28</v>
      </c>
      <c r="X58" s="22">
        <v>34</v>
      </c>
      <c r="Y58" s="20">
        <v>326700</v>
      </c>
      <c r="Z58">
        <v>13500</v>
      </c>
      <c r="AA58">
        <v>330300</v>
      </c>
      <c r="AB58" s="22">
        <v>900</v>
      </c>
      <c r="AC58" s="20">
        <v>0.92063492063492058</v>
      </c>
      <c r="AD58" s="22">
        <v>0.99456521739130432</v>
      </c>
      <c r="AE58">
        <v>0.36380846325167038</v>
      </c>
      <c r="AF58">
        <v>1.5033407572383074E-2</v>
      </c>
      <c r="AG58">
        <v>0.37884187082405346</v>
      </c>
      <c r="AH58">
        <v>0.36781737193763919</v>
      </c>
      <c r="AI58">
        <v>1.0022271714922048E-3</v>
      </c>
      <c r="AJ58">
        <v>0.36881959910913142</v>
      </c>
      <c r="AM58">
        <f t="shared" si="0"/>
        <v>22.45</v>
      </c>
    </row>
    <row r="59" spans="1:39">
      <c r="A59" s="20">
        <v>378</v>
      </c>
      <c r="B59" t="s">
        <v>12</v>
      </c>
      <c r="C59" s="22" t="s">
        <v>38</v>
      </c>
      <c r="D59">
        <v>7845</v>
      </c>
      <c r="E59">
        <v>1660</v>
      </c>
      <c r="F59" s="43">
        <v>4.725903614457831</v>
      </c>
      <c r="G59">
        <v>280</v>
      </c>
      <c r="H59" s="43">
        <v>5.9285714285714288</v>
      </c>
      <c r="I59" s="20">
        <v>0.47630560900000002</v>
      </c>
      <c r="J59">
        <v>0.43568665400000001</v>
      </c>
      <c r="K59">
        <v>1</v>
      </c>
      <c r="L59">
        <v>0.80174081200000002</v>
      </c>
      <c r="M59">
        <v>0.56673114099999999</v>
      </c>
      <c r="N59">
        <v>0.47388781400000002</v>
      </c>
      <c r="O59">
        <v>0.47630560900000002</v>
      </c>
      <c r="P59">
        <v>0.51112185700000001</v>
      </c>
      <c r="Q59">
        <v>0.47388781400000002</v>
      </c>
      <c r="R59">
        <v>0.48500967099999998</v>
      </c>
      <c r="S59">
        <v>0.44342359799999997</v>
      </c>
      <c r="T59" s="22">
        <v>0.43568665400000001</v>
      </c>
      <c r="U59" s="20" t="s">
        <v>142</v>
      </c>
      <c r="V59" t="s">
        <v>142</v>
      </c>
      <c r="W59">
        <v>2</v>
      </c>
      <c r="X59" s="22">
        <v>11</v>
      </c>
      <c r="Y59" s="20">
        <v>777600</v>
      </c>
      <c r="Z59">
        <v>34200</v>
      </c>
      <c r="AA59">
        <v>316800</v>
      </c>
      <c r="AB59" s="22">
        <v>772200</v>
      </c>
      <c r="AC59" s="20">
        <v>0.91574279379157431</v>
      </c>
      <c r="AD59" s="22">
        <v>-0.41818181818181815</v>
      </c>
      <c r="AE59">
        <v>0.35400163889647634</v>
      </c>
      <c r="AF59">
        <v>1.556951652553947E-2</v>
      </c>
      <c r="AG59">
        <v>0.3695711554220158</v>
      </c>
      <c r="AH59">
        <v>0.14422288992078666</v>
      </c>
      <c r="AI59">
        <v>0.35154329418191749</v>
      </c>
      <c r="AJ59">
        <v>0.49576618410270412</v>
      </c>
      <c r="AM59">
        <f t="shared" si="0"/>
        <v>39.225000000000001</v>
      </c>
    </row>
    <row r="60" spans="1:39">
      <c r="A60" s="20">
        <v>379</v>
      </c>
      <c r="B60" t="s">
        <v>10</v>
      </c>
      <c r="C60" s="22" t="s">
        <v>38</v>
      </c>
      <c r="D60">
        <v>2370</v>
      </c>
      <c r="E60">
        <v>80</v>
      </c>
      <c r="F60" s="43">
        <v>29.625</v>
      </c>
      <c r="G60">
        <v>240</v>
      </c>
      <c r="H60" s="43">
        <v>0.33333333333333331</v>
      </c>
      <c r="I60" s="20">
        <v>0.76489028199999998</v>
      </c>
      <c r="J60">
        <v>0.74608150500000003</v>
      </c>
      <c r="K60">
        <v>1</v>
      </c>
      <c r="L60">
        <v>1.0266457680000001</v>
      </c>
      <c r="M60">
        <v>0.94043887100000001</v>
      </c>
      <c r="N60">
        <v>0.90282131700000001</v>
      </c>
      <c r="O60">
        <v>0.76489028199999998</v>
      </c>
      <c r="P60">
        <v>0.90752351099999995</v>
      </c>
      <c r="Q60">
        <v>0.65360501599999998</v>
      </c>
      <c r="R60">
        <v>0.74294670799999996</v>
      </c>
      <c r="S60">
        <v>0.70062695900000005</v>
      </c>
      <c r="T60" s="22">
        <v>0.74608150500000003</v>
      </c>
      <c r="U60" s="20" t="s">
        <v>143</v>
      </c>
      <c r="V60" t="s">
        <v>143</v>
      </c>
      <c r="W60">
        <v>6</v>
      </c>
      <c r="X60" s="22">
        <v>9</v>
      </c>
      <c r="Y60" s="20">
        <v>153900</v>
      </c>
      <c r="Z60">
        <v>159300</v>
      </c>
      <c r="AA60">
        <v>36900</v>
      </c>
      <c r="AB60" s="22">
        <v>27000</v>
      </c>
      <c r="AC60" s="20">
        <v>-1.7241379310344827E-2</v>
      </c>
      <c r="AD60" s="22">
        <v>0.15492957746478872</v>
      </c>
      <c r="AE60">
        <v>0.27056962025316456</v>
      </c>
      <c r="AF60">
        <v>0.2800632911392405</v>
      </c>
      <c r="AG60">
        <v>0.55063291139240511</v>
      </c>
      <c r="AH60">
        <v>6.4873417721518986E-2</v>
      </c>
      <c r="AI60">
        <v>4.746835443037975E-2</v>
      </c>
      <c r="AJ60">
        <v>0.11234177215189874</v>
      </c>
      <c r="AM60">
        <f t="shared" si="0"/>
        <v>11.85</v>
      </c>
    </row>
    <row r="61" spans="1:39">
      <c r="A61" s="20">
        <v>380</v>
      </c>
      <c r="B61" t="s">
        <v>12</v>
      </c>
      <c r="C61" s="22" t="s">
        <v>39</v>
      </c>
      <c r="D61">
        <v>3395</v>
      </c>
      <c r="E61">
        <v>780</v>
      </c>
      <c r="F61" s="43">
        <v>4.3525641025641022</v>
      </c>
      <c r="G61">
        <v>360</v>
      </c>
      <c r="H61" s="43">
        <v>2.1666666666666665</v>
      </c>
      <c r="I61" s="20">
        <v>0.63574218800000004</v>
      </c>
      <c r="J61">
        <v>0.26855468799999999</v>
      </c>
      <c r="K61">
        <v>1</v>
      </c>
      <c r="L61">
        <v>0.99707031300000004</v>
      </c>
      <c r="M61">
        <v>0.974609375</v>
      </c>
      <c r="N61">
        <v>0.73925781300000004</v>
      </c>
      <c r="O61">
        <v>0.63574218800000004</v>
      </c>
      <c r="P61">
        <v>0.6171875</v>
      </c>
      <c r="Q61">
        <v>0.359375</v>
      </c>
      <c r="R61">
        <v>0.251953125</v>
      </c>
      <c r="S61">
        <v>0.259765625</v>
      </c>
      <c r="T61" s="22">
        <v>0.26855468799999999</v>
      </c>
      <c r="U61" s="20" t="s">
        <v>146</v>
      </c>
      <c r="V61" t="s">
        <v>144</v>
      </c>
      <c r="W61">
        <v>4</v>
      </c>
      <c r="X61" s="22"/>
      <c r="Y61" s="20">
        <v>381600</v>
      </c>
      <c r="Z61">
        <v>126900</v>
      </c>
      <c r="AA61">
        <v>0</v>
      </c>
      <c r="AB61" s="22">
        <v>0</v>
      </c>
      <c r="AC61" s="20">
        <v>0.50088495575221237</v>
      </c>
      <c r="AD61" s="22" t="s">
        <v>145</v>
      </c>
      <c r="AE61">
        <v>0.31222385861561119</v>
      </c>
      <c r="AF61">
        <v>0.10382916053019146</v>
      </c>
      <c r="AG61">
        <v>0.41605301914580267</v>
      </c>
      <c r="AH61">
        <v>0</v>
      </c>
      <c r="AI61">
        <v>0</v>
      </c>
      <c r="AJ61">
        <v>0</v>
      </c>
      <c r="AM61">
        <f t="shared" si="0"/>
        <v>16.975000000000001</v>
      </c>
    </row>
    <row r="62" spans="1:39">
      <c r="A62" s="20">
        <v>382</v>
      </c>
      <c r="B62" t="s">
        <v>12</v>
      </c>
      <c r="C62" s="22" t="s">
        <v>37</v>
      </c>
      <c r="D62">
        <v>6220</v>
      </c>
      <c r="E62">
        <v>450</v>
      </c>
      <c r="F62" s="43">
        <v>13.822222222222223</v>
      </c>
      <c r="G62">
        <v>200</v>
      </c>
      <c r="H62" s="43">
        <v>2.25</v>
      </c>
      <c r="I62" s="20">
        <v>1.0044150110000001</v>
      </c>
      <c r="J62">
        <v>0.97571743899999996</v>
      </c>
      <c r="K62">
        <v>1</v>
      </c>
      <c r="L62">
        <v>0.99558498900000003</v>
      </c>
      <c r="M62">
        <v>0.98785871999999997</v>
      </c>
      <c r="N62">
        <v>0.98785871999999997</v>
      </c>
      <c r="O62">
        <v>1.0044150110000001</v>
      </c>
      <c r="P62">
        <v>1</v>
      </c>
      <c r="Q62">
        <v>0.97902869800000003</v>
      </c>
      <c r="R62">
        <v>0.99227373100000005</v>
      </c>
      <c r="S62">
        <v>0.99116997799999995</v>
      </c>
      <c r="T62" s="22">
        <v>0.97571743899999996</v>
      </c>
      <c r="U62" s="20" t="s">
        <v>144</v>
      </c>
      <c r="V62" t="s">
        <v>144</v>
      </c>
      <c r="X62" s="22"/>
      <c r="Y62" s="20">
        <v>0</v>
      </c>
      <c r="Z62">
        <v>0</v>
      </c>
      <c r="AA62">
        <v>0</v>
      </c>
      <c r="AB62" s="22">
        <v>0</v>
      </c>
      <c r="AC62" s="20" t="s">
        <v>145</v>
      </c>
      <c r="AD62" s="22" t="s">
        <v>145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M62">
        <f t="shared" si="0"/>
        <v>31.1</v>
      </c>
    </row>
    <row r="63" spans="1:39">
      <c r="A63" s="20">
        <v>383</v>
      </c>
      <c r="B63" t="s">
        <v>10</v>
      </c>
      <c r="C63" s="22" t="s">
        <v>39</v>
      </c>
      <c r="D63">
        <v>6235</v>
      </c>
      <c r="E63">
        <v>100</v>
      </c>
      <c r="F63" s="43">
        <v>62.35</v>
      </c>
      <c r="G63">
        <v>200</v>
      </c>
      <c r="H63" s="43">
        <v>0.5</v>
      </c>
      <c r="I63" s="20">
        <v>0.66443949499999999</v>
      </c>
      <c r="J63">
        <v>0.52041573900000004</v>
      </c>
      <c r="K63">
        <v>1</v>
      </c>
      <c r="L63">
        <v>0.95991091299999998</v>
      </c>
      <c r="M63">
        <v>0.73348181099999998</v>
      </c>
      <c r="N63">
        <v>0.67928730500000001</v>
      </c>
      <c r="O63">
        <v>0.66443949499999999</v>
      </c>
      <c r="P63">
        <v>0.63028953200000004</v>
      </c>
      <c r="Q63">
        <v>0.59242761700000002</v>
      </c>
      <c r="R63">
        <v>0.59688196000000004</v>
      </c>
      <c r="S63">
        <v>0.575352635</v>
      </c>
      <c r="T63" s="22">
        <v>0.52041573900000004</v>
      </c>
      <c r="U63" s="20" t="s">
        <v>142</v>
      </c>
      <c r="V63" t="s">
        <v>144</v>
      </c>
      <c r="W63">
        <v>2</v>
      </c>
      <c r="X63" s="22"/>
      <c r="Y63" s="20">
        <v>288900</v>
      </c>
      <c r="Z63">
        <v>92700</v>
      </c>
      <c r="AA63">
        <v>0</v>
      </c>
      <c r="AB63" s="22">
        <v>0</v>
      </c>
      <c r="AC63" s="20">
        <v>0.51415094339622647</v>
      </c>
      <c r="AD63" s="22" t="s">
        <v>145</v>
      </c>
      <c r="AE63">
        <v>0.23167602245388932</v>
      </c>
      <c r="AF63">
        <v>7.4338412189254216E-2</v>
      </c>
      <c r="AG63">
        <v>0.30601443464314354</v>
      </c>
      <c r="AH63">
        <v>0</v>
      </c>
      <c r="AI63">
        <v>0</v>
      </c>
      <c r="AJ63">
        <v>0</v>
      </c>
      <c r="AM63">
        <f t="shared" si="0"/>
        <v>31.175000000000001</v>
      </c>
    </row>
    <row r="64" spans="1:39">
      <c r="A64" s="20">
        <v>386</v>
      </c>
      <c r="B64" t="s">
        <v>10</v>
      </c>
      <c r="C64" s="22" t="s">
        <v>40</v>
      </c>
      <c r="D64">
        <v>6890</v>
      </c>
      <c r="E64">
        <v>55</v>
      </c>
      <c r="F64" s="43">
        <v>125.27272727272727</v>
      </c>
      <c r="G64">
        <v>200</v>
      </c>
      <c r="H64" s="43">
        <v>0.27500000000000002</v>
      </c>
      <c r="I64" s="20">
        <v>1.0191424200000001</v>
      </c>
      <c r="J64">
        <v>0.60336906599999995</v>
      </c>
      <c r="K64">
        <v>1</v>
      </c>
      <c r="L64">
        <v>0.89203675299999996</v>
      </c>
      <c r="M64">
        <v>0.99617151599999998</v>
      </c>
      <c r="N64">
        <v>0.99310872900000002</v>
      </c>
      <c r="O64">
        <v>1.0191424200000001</v>
      </c>
      <c r="P64">
        <v>0.67611025999999996</v>
      </c>
      <c r="Q64">
        <v>0.79555895899999995</v>
      </c>
      <c r="R64">
        <v>0.59877488499999998</v>
      </c>
      <c r="S64">
        <v>0.69142419600000005</v>
      </c>
      <c r="T64" s="22">
        <v>0.60336906599999995</v>
      </c>
      <c r="U64" s="20" t="s">
        <v>142</v>
      </c>
      <c r="V64" t="s">
        <v>142</v>
      </c>
      <c r="W64">
        <v>7</v>
      </c>
      <c r="X64" s="22">
        <v>5</v>
      </c>
      <c r="Y64" s="20">
        <v>342900</v>
      </c>
      <c r="Z64">
        <v>32400</v>
      </c>
      <c r="AA64">
        <v>293400</v>
      </c>
      <c r="AB64" s="22">
        <v>0</v>
      </c>
      <c r="AC64" s="20">
        <v>0.82733812949640284</v>
      </c>
      <c r="AD64" s="22">
        <v>1</v>
      </c>
      <c r="AE64">
        <v>0.24883889695210451</v>
      </c>
      <c r="AF64">
        <v>2.351233671988389E-2</v>
      </c>
      <c r="AG64">
        <v>0.27235123367198838</v>
      </c>
      <c r="AH64">
        <v>0.21291727140783745</v>
      </c>
      <c r="AI64">
        <v>0</v>
      </c>
      <c r="AJ64">
        <v>0.21291727140783745</v>
      </c>
      <c r="AM64">
        <f t="shared" si="0"/>
        <v>34.450000000000003</v>
      </c>
    </row>
    <row r="65" spans="1:39">
      <c r="A65" s="20">
        <v>387</v>
      </c>
      <c r="B65" t="s">
        <v>10</v>
      </c>
      <c r="C65" s="22" t="s">
        <v>40</v>
      </c>
      <c r="D65">
        <v>10680</v>
      </c>
      <c r="E65">
        <v>150</v>
      </c>
      <c r="F65" s="43">
        <v>74.888888888888886</v>
      </c>
      <c r="G65">
        <v>200</v>
      </c>
      <c r="H65" s="43">
        <v>0.75</v>
      </c>
      <c r="I65" s="20">
        <v>0.93212917399999995</v>
      </c>
      <c r="J65">
        <v>0.70935960600000003</v>
      </c>
      <c r="K65">
        <v>1</v>
      </c>
      <c r="L65">
        <v>1.0394088669999999</v>
      </c>
      <c r="M65">
        <v>0.969348659</v>
      </c>
      <c r="N65">
        <v>0.89162561600000001</v>
      </c>
      <c r="O65">
        <v>0.93212917399999995</v>
      </c>
      <c r="P65">
        <v>0.93650793700000001</v>
      </c>
      <c r="Q65">
        <v>0.91844553900000003</v>
      </c>
      <c r="R65">
        <v>0.85550082100000002</v>
      </c>
      <c r="S65">
        <v>0.90640394099999999</v>
      </c>
      <c r="T65" s="22">
        <v>0.70935960600000003</v>
      </c>
      <c r="U65" s="20" t="s">
        <v>142</v>
      </c>
      <c r="V65" t="s">
        <v>142</v>
      </c>
      <c r="W65">
        <v>3</v>
      </c>
      <c r="X65" s="22">
        <v>7</v>
      </c>
      <c r="Y65" s="20">
        <v>307800</v>
      </c>
      <c r="Z65">
        <v>9900</v>
      </c>
      <c r="AA65">
        <v>142200</v>
      </c>
      <c r="AB65" s="22">
        <v>0</v>
      </c>
      <c r="AC65" s="20">
        <v>0.93767705382436262</v>
      </c>
      <c r="AD65" s="22">
        <v>1</v>
      </c>
      <c r="AE65">
        <v>0.14410112359550561</v>
      </c>
      <c r="AF65">
        <v>4.6348314606741575E-3</v>
      </c>
      <c r="AG65">
        <v>0.14873595505617976</v>
      </c>
      <c r="AH65">
        <v>6.6573033707865173E-2</v>
      </c>
      <c r="AI65">
        <v>0</v>
      </c>
      <c r="AJ65">
        <v>6.6573033707865173E-2</v>
      </c>
      <c r="AM65">
        <f t="shared" si="0"/>
        <v>53.4</v>
      </c>
    </row>
    <row r="66" spans="1:39">
      <c r="A66" s="20">
        <v>388</v>
      </c>
      <c r="B66" t="s">
        <v>10</v>
      </c>
      <c r="C66" s="22" t="s">
        <v>40</v>
      </c>
      <c r="D66">
        <v>5730</v>
      </c>
      <c r="E66">
        <v>50</v>
      </c>
      <c r="F66" s="43">
        <v>114.6</v>
      </c>
      <c r="G66">
        <v>200</v>
      </c>
      <c r="H66" s="43">
        <v>0.25</v>
      </c>
      <c r="I66" s="20">
        <v>0.77454545500000005</v>
      </c>
      <c r="K66">
        <v>1</v>
      </c>
      <c r="L66">
        <v>0.86</v>
      </c>
      <c r="M66">
        <v>0.90090909100000005</v>
      </c>
      <c r="N66">
        <v>0.87272727299999997</v>
      </c>
      <c r="O66">
        <v>0.77454545500000005</v>
      </c>
      <c r="P66">
        <v>0.89909090899999999</v>
      </c>
      <c r="Q66">
        <v>0.75272727299999997</v>
      </c>
      <c r="R66">
        <v>0.78636363600000003</v>
      </c>
      <c r="T66" s="22"/>
      <c r="U66" s="20" t="s">
        <v>143</v>
      </c>
      <c r="V66" t="s">
        <v>142</v>
      </c>
      <c r="W66">
        <v>4</v>
      </c>
      <c r="X66" s="22">
        <v>3</v>
      </c>
      <c r="Y66" s="20">
        <v>45900</v>
      </c>
      <c r="Z66">
        <v>70200</v>
      </c>
      <c r="AA66">
        <v>93600</v>
      </c>
      <c r="AB66" s="22">
        <v>14400</v>
      </c>
      <c r="AC66" s="20">
        <v>-0.20930232558139536</v>
      </c>
      <c r="AD66" s="22">
        <v>0.73333333333333328</v>
      </c>
      <c r="AE66">
        <v>4.0052356020942412E-2</v>
      </c>
      <c r="AF66">
        <v>6.1256544502617798E-2</v>
      </c>
      <c r="AG66">
        <v>0.1013089005235602</v>
      </c>
      <c r="AH66">
        <v>8.1675392670157068E-2</v>
      </c>
      <c r="AI66">
        <v>1.2565445026178011E-2</v>
      </c>
      <c r="AJ66">
        <v>9.4240837696335081E-2</v>
      </c>
      <c r="AM66">
        <f t="shared" si="0"/>
        <v>28.65</v>
      </c>
    </row>
    <row r="67" spans="1:39">
      <c r="A67" s="20">
        <v>389</v>
      </c>
      <c r="B67" t="s">
        <v>10</v>
      </c>
      <c r="C67" s="22" t="s">
        <v>40</v>
      </c>
      <c r="D67">
        <v>6740</v>
      </c>
      <c r="E67">
        <v>90</v>
      </c>
      <c r="F67" s="43">
        <v>74.888888888888886</v>
      </c>
      <c r="G67">
        <v>200</v>
      </c>
      <c r="H67" s="43">
        <v>0.45</v>
      </c>
      <c r="I67" s="20">
        <v>0.83790849700000003</v>
      </c>
      <c r="J67">
        <v>0.75555555600000002</v>
      </c>
      <c r="K67">
        <v>1</v>
      </c>
      <c r="L67">
        <v>0.99869280999999999</v>
      </c>
      <c r="M67">
        <v>0.82745097999999995</v>
      </c>
      <c r="N67">
        <v>0.76405228800000002</v>
      </c>
      <c r="O67">
        <v>0.83790849700000003</v>
      </c>
      <c r="P67">
        <v>0.55294117600000003</v>
      </c>
      <c r="Q67">
        <v>0.749019608</v>
      </c>
      <c r="R67">
        <v>0.50849673200000001</v>
      </c>
      <c r="S67">
        <v>0.53856209200000005</v>
      </c>
      <c r="T67" s="22">
        <v>0.75555555600000002</v>
      </c>
      <c r="U67" s="20" t="s">
        <v>142</v>
      </c>
      <c r="V67" t="s">
        <v>142</v>
      </c>
      <c r="W67">
        <v>5</v>
      </c>
      <c r="X67" s="22">
        <v>5</v>
      </c>
      <c r="Y67" s="20">
        <v>423000</v>
      </c>
      <c r="Z67">
        <v>53100</v>
      </c>
      <c r="AA67">
        <v>258300</v>
      </c>
      <c r="AB67" s="22">
        <v>900</v>
      </c>
      <c r="AC67" s="20">
        <v>0.77693761814744799</v>
      </c>
      <c r="AD67" s="22">
        <v>0.99305555555555558</v>
      </c>
      <c r="AE67">
        <v>0.31379821958456972</v>
      </c>
      <c r="AF67">
        <v>3.9391691394658757E-2</v>
      </c>
      <c r="AG67">
        <v>0.35318991097922847</v>
      </c>
      <c r="AH67">
        <v>0.19161721068249257</v>
      </c>
      <c r="AI67">
        <v>6.6765578635014837E-4</v>
      </c>
      <c r="AJ67">
        <v>0.19228486646884271</v>
      </c>
      <c r="AM67">
        <f t="shared" ref="AM67:AM130" si="1">D67/200</f>
        <v>33.700000000000003</v>
      </c>
    </row>
    <row r="68" spans="1:39">
      <c r="A68" s="20">
        <v>390</v>
      </c>
      <c r="B68" t="s">
        <v>12</v>
      </c>
      <c r="C68" s="22" t="s">
        <v>42</v>
      </c>
      <c r="D68">
        <v>43360</v>
      </c>
      <c r="E68">
        <v>3755</v>
      </c>
      <c r="F68" s="43">
        <v>11.547270306258323</v>
      </c>
      <c r="G68">
        <v>800</v>
      </c>
      <c r="H68" s="43">
        <v>4.6937499999999996</v>
      </c>
      <c r="I68" s="20">
        <v>0.540043893</v>
      </c>
      <c r="J68">
        <v>0.45455140999999999</v>
      </c>
      <c r="K68">
        <v>1</v>
      </c>
      <c r="L68">
        <v>0.96292050200000001</v>
      </c>
      <c r="M68">
        <v>0.78865996299999996</v>
      </c>
      <c r="N68">
        <v>0.63339775300000001</v>
      </c>
      <c r="O68">
        <v>0.540043893</v>
      </c>
      <c r="P68">
        <v>0.49028792300000001</v>
      </c>
      <c r="Q68">
        <v>0.50001637799999998</v>
      </c>
      <c r="R68">
        <v>0.515116774</v>
      </c>
      <c r="S68">
        <v>0.442562809</v>
      </c>
      <c r="T68" s="22">
        <v>0.45455140999999999</v>
      </c>
      <c r="U68" s="20" t="s">
        <v>146</v>
      </c>
      <c r="V68" t="s">
        <v>146</v>
      </c>
      <c r="W68">
        <v>3</v>
      </c>
      <c r="X68" s="22">
        <v>10</v>
      </c>
      <c r="Y68" s="20">
        <v>8365500</v>
      </c>
      <c r="Z68">
        <v>3284100</v>
      </c>
      <c r="AA68">
        <v>4483800</v>
      </c>
      <c r="AB68" s="22">
        <v>1654200</v>
      </c>
      <c r="AC68" s="20">
        <v>0.43618665018541408</v>
      </c>
      <c r="AD68" s="22">
        <v>0.46099706744868035</v>
      </c>
      <c r="AE68">
        <v>0.24116409132841329</v>
      </c>
      <c r="AF68">
        <v>9.4675392066420658E-2</v>
      </c>
      <c r="AG68">
        <v>0.33583948339483394</v>
      </c>
      <c r="AH68">
        <v>0.12926083948339484</v>
      </c>
      <c r="AI68">
        <v>4.7687961254612547E-2</v>
      </c>
      <c r="AJ68">
        <v>0.17694880073800739</v>
      </c>
      <c r="AM68">
        <f t="shared" si="1"/>
        <v>216.8</v>
      </c>
    </row>
    <row r="69" spans="1:39">
      <c r="A69" s="20">
        <v>391</v>
      </c>
      <c r="B69" t="s">
        <v>10</v>
      </c>
      <c r="C69" s="22" t="s">
        <v>42</v>
      </c>
      <c r="D69">
        <v>7150</v>
      </c>
      <c r="E69">
        <v>160</v>
      </c>
      <c r="F69" s="43">
        <v>44.6875</v>
      </c>
      <c r="G69">
        <v>800</v>
      </c>
      <c r="H69" s="43">
        <v>0.2</v>
      </c>
      <c r="I69" s="20">
        <v>0.72585295500000002</v>
      </c>
      <c r="K69">
        <v>1</v>
      </c>
      <c r="L69">
        <v>0.96203748200000005</v>
      </c>
      <c r="M69">
        <v>0.87481979799999998</v>
      </c>
      <c r="N69">
        <v>0.77775108100000001</v>
      </c>
      <c r="O69">
        <v>0.72585295500000002</v>
      </c>
      <c r="P69">
        <v>0.69654012499999995</v>
      </c>
      <c r="Q69">
        <v>0.53555982700000004</v>
      </c>
      <c r="T69" s="22"/>
      <c r="U69" s="20" t="s">
        <v>143</v>
      </c>
      <c r="V69" t="s">
        <v>144</v>
      </c>
      <c r="W69">
        <v>3</v>
      </c>
      <c r="X69" s="22"/>
      <c r="Y69" s="20">
        <v>1559700</v>
      </c>
      <c r="Z69">
        <v>2405700</v>
      </c>
      <c r="AA69">
        <v>0</v>
      </c>
      <c r="AB69" s="22">
        <v>0</v>
      </c>
      <c r="AC69" s="20">
        <v>-0.21334543803903769</v>
      </c>
      <c r="AD69" s="22" t="s">
        <v>145</v>
      </c>
      <c r="AE69">
        <v>0.27267482517482516</v>
      </c>
      <c r="AF69">
        <v>0.42057692307692307</v>
      </c>
      <c r="AG69">
        <v>0.69325174825174818</v>
      </c>
      <c r="AH69">
        <v>0</v>
      </c>
      <c r="AI69">
        <v>0</v>
      </c>
      <c r="AJ69">
        <v>0</v>
      </c>
      <c r="AM69">
        <f t="shared" si="1"/>
        <v>35.75</v>
      </c>
    </row>
    <row r="70" spans="1:39">
      <c r="A70" s="20">
        <v>393</v>
      </c>
      <c r="B70" t="s">
        <v>10</v>
      </c>
      <c r="C70" s="22" t="s">
        <v>42</v>
      </c>
      <c r="D70">
        <v>18280</v>
      </c>
      <c r="E70">
        <v>240</v>
      </c>
      <c r="F70" s="43">
        <v>76.166666666666671</v>
      </c>
      <c r="G70">
        <v>960</v>
      </c>
      <c r="H70" s="43">
        <v>0.25</v>
      </c>
      <c r="I70" s="20">
        <v>0.878860588</v>
      </c>
      <c r="K70">
        <v>1</v>
      </c>
      <c r="L70">
        <v>0.94118370900000003</v>
      </c>
      <c r="M70">
        <v>0.90876091999999997</v>
      </c>
      <c r="N70">
        <v>0.88255198700000004</v>
      </c>
      <c r="O70">
        <v>0.878860588</v>
      </c>
      <c r="P70">
        <v>0.85732742699999998</v>
      </c>
      <c r="Q70">
        <v>0.82994955100000001</v>
      </c>
      <c r="R70">
        <v>0.77790082400000005</v>
      </c>
      <c r="S70">
        <v>0.72782084400000002</v>
      </c>
      <c r="T70" s="22"/>
      <c r="U70" s="20" t="s">
        <v>144</v>
      </c>
      <c r="V70" t="s">
        <v>144</v>
      </c>
      <c r="X70" s="22"/>
      <c r="Y70" s="20">
        <v>0</v>
      </c>
      <c r="Z70">
        <v>0</v>
      </c>
      <c r="AA70">
        <v>0</v>
      </c>
      <c r="AB70" s="22">
        <v>0</v>
      </c>
      <c r="AC70" s="20" t="s">
        <v>145</v>
      </c>
      <c r="AD70" s="22" t="s">
        <v>145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M70">
        <f t="shared" si="1"/>
        <v>91.4</v>
      </c>
    </row>
    <row r="71" spans="1:39">
      <c r="A71" s="20">
        <v>394</v>
      </c>
      <c r="B71" t="s">
        <v>10</v>
      </c>
      <c r="C71" s="22" t="s">
        <v>42</v>
      </c>
      <c r="D71">
        <v>7135</v>
      </c>
      <c r="E71">
        <v>160</v>
      </c>
      <c r="F71" s="43">
        <v>44.59375</v>
      </c>
      <c r="G71">
        <v>660</v>
      </c>
      <c r="H71" s="43">
        <v>0.24242424242424243</v>
      </c>
      <c r="I71" s="20">
        <v>0.77787818500000006</v>
      </c>
      <c r="J71">
        <v>0.64991867000000003</v>
      </c>
      <c r="K71">
        <v>1</v>
      </c>
      <c r="L71">
        <v>0.98264955700000001</v>
      </c>
      <c r="M71">
        <v>0.86734140599999998</v>
      </c>
      <c r="N71">
        <v>0.82974877999999996</v>
      </c>
      <c r="O71">
        <v>0.77787818500000006</v>
      </c>
      <c r="P71">
        <v>0.76161214499999996</v>
      </c>
      <c r="Q71">
        <v>0.70413880399999995</v>
      </c>
      <c r="R71">
        <v>0.60401229000000001</v>
      </c>
      <c r="S71">
        <v>0.65913609299999998</v>
      </c>
      <c r="T71" s="22">
        <v>0.64991867000000003</v>
      </c>
      <c r="U71" s="20" t="s">
        <v>143</v>
      </c>
      <c r="V71" t="s">
        <v>142</v>
      </c>
      <c r="W71">
        <v>4</v>
      </c>
      <c r="X71" s="22">
        <v>4</v>
      </c>
      <c r="Y71" s="20">
        <v>615600</v>
      </c>
      <c r="Z71">
        <v>464400</v>
      </c>
      <c r="AA71">
        <v>976500</v>
      </c>
      <c r="AB71" s="22">
        <v>89100</v>
      </c>
      <c r="AC71" s="20">
        <v>0.14000000000000001</v>
      </c>
      <c r="AD71" s="22">
        <v>0.83277027027027029</v>
      </c>
      <c r="AE71">
        <v>0.13072561635981397</v>
      </c>
      <c r="AF71">
        <v>9.8617570236350899E-2</v>
      </c>
      <c r="AG71">
        <v>0.22934318659616487</v>
      </c>
      <c r="AH71">
        <v>0.20736446454736573</v>
      </c>
      <c r="AI71">
        <v>1.8920812894183601E-2</v>
      </c>
      <c r="AJ71">
        <v>0.22628527744154933</v>
      </c>
      <c r="AM71">
        <f t="shared" si="1"/>
        <v>35.674999999999997</v>
      </c>
    </row>
    <row r="72" spans="1:39">
      <c r="A72" s="20">
        <v>395</v>
      </c>
      <c r="B72" t="s">
        <v>12</v>
      </c>
      <c r="C72" s="22" t="s">
        <v>42</v>
      </c>
      <c r="D72">
        <v>12220</v>
      </c>
      <c r="E72">
        <v>5480</v>
      </c>
      <c r="F72" s="43">
        <v>2.2299270072992701</v>
      </c>
      <c r="G72">
        <v>800</v>
      </c>
      <c r="H72" s="43">
        <v>6.85</v>
      </c>
      <c r="I72" s="20">
        <v>0.40334686800000003</v>
      </c>
      <c r="K72">
        <v>1</v>
      </c>
      <c r="L72">
        <v>0.90857635000000003</v>
      </c>
      <c r="M72">
        <v>0.64107296700000005</v>
      </c>
      <c r="N72">
        <v>0.60846560800000005</v>
      </c>
      <c r="O72">
        <v>0.40334686800000003</v>
      </c>
      <c r="P72">
        <v>0.27021041000000001</v>
      </c>
      <c r="T72" s="22"/>
      <c r="U72" s="20" t="s">
        <v>143</v>
      </c>
      <c r="V72" t="s">
        <v>144</v>
      </c>
      <c r="W72">
        <v>3</v>
      </c>
      <c r="X72" s="22"/>
      <c r="Y72" s="20">
        <v>1268100</v>
      </c>
      <c r="Z72">
        <v>4310100</v>
      </c>
      <c r="AA72">
        <v>0</v>
      </c>
      <c r="AB72" s="22">
        <v>0</v>
      </c>
      <c r="AC72" s="20">
        <v>-0.54533720555017751</v>
      </c>
      <c r="AD72" s="22" t="s">
        <v>145</v>
      </c>
      <c r="AE72">
        <v>0.12971563011456627</v>
      </c>
      <c r="AF72">
        <v>0.44088584288052374</v>
      </c>
      <c r="AG72">
        <v>0.57060147299509001</v>
      </c>
      <c r="AH72">
        <v>0</v>
      </c>
      <c r="AI72">
        <v>0</v>
      </c>
      <c r="AJ72">
        <v>0</v>
      </c>
      <c r="AM72">
        <f t="shared" si="1"/>
        <v>61.1</v>
      </c>
    </row>
    <row r="73" spans="1:39">
      <c r="A73" s="20">
        <v>398</v>
      </c>
      <c r="B73" t="s">
        <v>10</v>
      </c>
      <c r="C73" s="22" t="s">
        <v>42</v>
      </c>
      <c r="D73">
        <v>16100</v>
      </c>
      <c r="E73">
        <v>120</v>
      </c>
      <c r="F73" s="43">
        <v>134.16666666666666</v>
      </c>
      <c r="G73">
        <v>700</v>
      </c>
      <c r="H73" s="43">
        <v>0.17142857142857143</v>
      </c>
      <c r="I73" s="20">
        <v>0.75158290500000002</v>
      </c>
      <c r="J73">
        <v>0.55352196300000001</v>
      </c>
      <c r="K73">
        <v>1</v>
      </c>
      <c r="L73">
        <v>0.98634744799999996</v>
      </c>
      <c r="M73">
        <v>0.877324891</v>
      </c>
      <c r="N73">
        <v>0.85872576199999995</v>
      </c>
      <c r="O73">
        <v>0.75158290500000002</v>
      </c>
      <c r="P73">
        <v>0.87109220399999998</v>
      </c>
      <c r="Q73">
        <v>0.74732884799999999</v>
      </c>
      <c r="R73">
        <v>0.74030470900000001</v>
      </c>
      <c r="S73">
        <v>0.61011080299999998</v>
      </c>
      <c r="T73" s="22">
        <v>0.55352196300000001</v>
      </c>
      <c r="U73" s="20" t="s">
        <v>142</v>
      </c>
      <c r="V73" t="s">
        <v>142</v>
      </c>
      <c r="W73">
        <v>5</v>
      </c>
      <c r="X73" s="22">
        <v>7</v>
      </c>
      <c r="Y73" s="20">
        <v>3241800</v>
      </c>
      <c r="Z73">
        <v>423900</v>
      </c>
      <c r="AA73">
        <v>2016900</v>
      </c>
      <c r="AB73" s="22">
        <v>206100</v>
      </c>
      <c r="AC73" s="20">
        <v>0.76872084458630008</v>
      </c>
      <c r="AD73" s="22">
        <v>0.81457489878542511</v>
      </c>
      <c r="AE73">
        <v>0.28764862466725821</v>
      </c>
      <c r="AF73">
        <v>3.76131322094055E-2</v>
      </c>
      <c r="AG73">
        <v>0.3252617568766637</v>
      </c>
      <c r="AH73">
        <v>0.17896184560780834</v>
      </c>
      <c r="AI73">
        <v>1.828748890860692E-2</v>
      </c>
      <c r="AJ73">
        <v>0.19724933451641527</v>
      </c>
      <c r="AM73">
        <f t="shared" si="1"/>
        <v>80.5</v>
      </c>
    </row>
    <row r="74" spans="1:39">
      <c r="A74" s="20">
        <v>400</v>
      </c>
      <c r="B74" t="s">
        <v>10</v>
      </c>
      <c r="C74" s="22" t="s">
        <v>42</v>
      </c>
      <c r="D74">
        <v>20500</v>
      </c>
      <c r="E74">
        <v>160</v>
      </c>
      <c r="F74" s="43">
        <v>128.125</v>
      </c>
      <c r="G74">
        <v>600</v>
      </c>
      <c r="H74" s="43">
        <v>0.26666666666666666</v>
      </c>
      <c r="I74" s="20">
        <v>0.86515151499999998</v>
      </c>
      <c r="J74">
        <v>0.78189033200000002</v>
      </c>
      <c r="K74">
        <v>1</v>
      </c>
      <c r="L74">
        <v>1.0392496389999999</v>
      </c>
      <c r="M74">
        <v>0.937518038</v>
      </c>
      <c r="N74">
        <v>0.90367965400000005</v>
      </c>
      <c r="O74">
        <v>0.86515151499999998</v>
      </c>
      <c r="P74">
        <v>0.88073593100000003</v>
      </c>
      <c r="Q74">
        <v>0.79126984099999997</v>
      </c>
      <c r="R74">
        <v>0.81962482000000003</v>
      </c>
      <c r="S74">
        <v>0.89430014400000002</v>
      </c>
      <c r="T74" s="22">
        <v>0.78189033200000002</v>
      </c>
      <c r="U74" s="20" t="s">
        <v>143</v>
      </c>
      <c r="V74" t="s">
        <v>143</v>
      </c>
      <c r="W74">
        <v>7</v>
      </c>
      <c r="X74" s="22">
        <v>7</v>
      </c>
      <c r="Y74" s="20">
        <v>2127600</v>
      </c>
      <c r="Z74">
        <v>980100</v>
      </c>
      <c r="AA74">
        <v>2658600</v>
      </c>
      <c r="AB74" s="22">
        <v>335700</v>
      </c>
      <c r="AC74" s="20">
        <v>0.36924413553431801</v>
      </c>
      <c r="AD74" s="22">
        <v>0.77577397054403363</v>
      </c>
      <c r="AE74">
        <v>0.17297560975609755</v>
      </c>
      <c r="AF74">
        <v>7.9682926829268294E-2</v>
      </c>
      <c r="AG74">
        <v>0.25265853658536586</v>
      </c>
      <c r="AH74">
        <v>0.21614634146341463</v>
      </c>
      <c r="AI74">
        <v>2.7292682926829268E-2</v>
      </c>
      <c r="AJ74">
        <v>0.2434390243902439</v>
      </c>
      <c r="AM74">
        <f t="shared" si="1"/>
        <v>102.5</v>
      </c>
    </row>
    <row r="75" spans="1:39">
      <c r="A75" s="20">
        <v>405</v>
      </c>
      <c r="B75" t="s">
        <v>12</v>
      </c>
      <c r="C75" s="22" t="s">
        <v>42</v>
      </c>
      <c r="D75">
        <v>69300</v>
      </c>
      <c r="E75">
        <v>5450</v>
      </c>
      <c r="F75" s="43">
        <v>12.715596330275229</v>
      </c>
      <c r="G75">
        <v>700</v>
      </c>
      <c r="H75" s="43">
        <v>7.7857142857142856</v>
      </c>
      <c r="I75" s="20">
        <v>0.71783178700000005</v>
      </c>
      <c r="J75">
        <v>0.55189925900000003</v>
      </c>
      <c r="K75">
        <v>1</v>
      </c>
      <c r="L75">
        <v>0.83472387800000003</v>
      </c>
      <c r="M75">
        <v>0.71619077200000003</v>
      </c>
      <c r="N75">
        <v>0.77193346100000004</v>
      </c>
      <c r="O75">
        <v>0.71783178700000005</v>
      </c>
      <c r="P75">
        <v>0.66443834099999999</v>
      </c>
      <c r="Q75">
        <v>0.61508697400000001</v>
      </c>
      <c r="R75">
        <v>0.608972034</v>
      </c>
      <c r="S75">
        <v>0.50470712200000001</v>
      </c>
      <c r="T75" s="22">
        <v>0.55189925900000003</v>
      </c>
      <c r="U75" s="20" t="s">
        <v>142</v>
      </c>
      <c r="V75" t="s">
        <v>144</v>
      </c>
      <c r="W75">
        <v>8</v>
      </c>
      <c r="X75" s="22"/>
      <c r="Y75" s="20">
        <v>20616300</v>
      </c>
      <c r="Z75">
        <v>64800</v>
      </c>
      <c r="AA75">
        <v>0</v>
      </c>
      <c r="AB75" s="22">
        <v>0</v>
      </c>
      <c r="AC75" s="20">
        <v>0.9937334087645241</v>
      </c>
      <c r="AD75" s="22" t="s">
        <v>145</v>
      </c>
      <c r="AE75">
        <v>0.42499072356215212</v>
      </c>
      <c r="AF75">
        <v>1.3358070500927644E-3</v>
      </c>
      <c r="AG75">
        <v>0.4263265306122449</v>
      </c>
      <c r="AH75">
        <v>0</v>
      </c>
      <c r="AI75">
        <v>0</v>
      </c>
      <c r="AJ75">
        <v>0</v>
      </c>
      <c r="AM75">
        <f t="shared" si="1"/>
        <v>346.5</v>
      </c>
    </row>
    <row r="76" spans="1:39">
      <c r="A76" s="20">
        <v>412</v>
      </c>
      <c r="B76" t="s">
        <v>12</v>
      </c>
      <c r="C76" s="22" t="s">
        <v>42</v>
      </c>
      <c r="D76">
        <v>12320</v>
      </c>
      <c r="E76">
        <v>2670</v>
      </c>
      <c r="F76" s="43">
        <v>4.6142322097378274</v>
      </c>
      <c r="G76">
        <v>600</v>
      </c>
      <c r="H76" s="43">
        <v>4.45</v>
      </c>
      <c r="I76" s="20">
        <v>0.56091659599999999</v>
      </c>
      <c r="J76">
        <v>0.52974665499999996</v>
      </c>
      <c r="K76">
        <v>1</v>
      </c>
      <c r="L76">
        <v>1.0199259890000001</v>
      </c>
      <c r="M76">
        <v>0.634785084</v>
      </c>
      <c r="N76">
        <v>0.80643324800000005</v>
      </c>
      <c r="O76">
        <v>0.56091659599999999</v>
      </c>
      <c r="P76">
        <v>0.479647025</v>
      </c>
      <c r="Q76">
        <v>0.52832336999999996</v>
      </c>
      <c r="R76">
        <v>0.34557358399999999</v>
      </c>
      <c r="S76">
        <v>0.34101907199999998</v>
      </c>
      <c r="T76" s="22">
        <v>0.52974665499999996</v>
      </c>
      <c r="U76" s="20" t="s">
        <v>146</v>
      </c>
      <c r="V76" t="s">
        <v>142</v>
      </c>
      <c r="W76">
        <v>3</v>
      </c>
      <c r="X76" s="22">
        <v>9</v>
      </c>
      <c r="Y76" s="20">
        <v>2916900</v>
      </c>
      <c r="Z76">
        <v>1088100</v>
      </c>
      <c r="AA76">
        <v>1618200</v>
      </c>
      <c r="AB76" s="22">
        <v>0</v>
      </c>
      <c r="AC76" s="20">
        <v>0.45662921348314606</v>
      </c>
      <c r="AD76" s="22">
        <v>1</v>
      </c>
      <c r="AE76">
        <v>0.39460227272727272</v>
      </c>
      <c r="AF76">
        <v>0.14719967532467532</v>
      </c>
      <c r="AG76">
        <v>0.54180194805194803</v>
      </c>
      <c r="AH76">
        <v>0.21891233766233767</v>
      </c>
      <c r="AI76">
        <v>0</v>
      </c>
      <c r="AJ76">
        <v>0.21891233766233767</v>
      </c>
      <c r="AM76">
        <f t="shared" si="1"/>
        <v>61.6</v>
      </c>
    </row>
    <row r="77" spans="1:39">
      <c r="A77" s="20">
        <v>414</v>
      </c>
      <c r="B77" t="s">
        <v>10</v>
      </c>
      <c r="C77" s="22" t="s">
        <v>36</v>
      </c>
      <c r="D77">
        <v>17320</v>
      </c>
      <c r="E77">
        <v>240</v>
      </c>
      <c r="F77" s="43">
        <v>72.166666666666671</v>
      </c>
      <c r="G77">
        <v>600</v>
      </c>
      <c r="H77" s="43">
        <v>0.4</v>
      </c>
      <c r="I77" s="20">
        <v>0.817455343</v>
      </c>
      <c r="J77">
        <v>0.75540582899999997</v>
      </c>
      <c r="K77">
        <v>1</v>
      </c>
      <c r="L77">
        <v>0.93066436900000005</v>
      </c>
      <c r="M77">
        <v>0.82779692900000001</v>
      </c>
      <c r="N77">
        <v>0.83790347899999995</v>
      </c>
      <c r="O77">
        <v>0.817455343</v>
      </c>
      <c r="P77">
        <v>0.77467878400000001</v>
      </c>
      <c r="Q77">
        <v>0.81729865199999996</v>
      </c>
      <c r="R77">
        <v>0.77514885600000005</v>
      </c>
      <c r="S77">
        <v>0.71631150099999996</v>
      </c>
      <c r="T77" s="22">
        <v>0.75540582899999997</v>
      </c>
      <c r="U77" s="20" t="s">
        <v>146</v>
      </c>
      <c r="V77" t="s">
        <v>143</v>
      </c>
      <c r="W77">
        <v>2</v>
      </c>
      <c r="X77" s="22">
        <v>6</v>
      </c>
      <c r="Y77" s="20">
        <v>1158300</v>
      </c>
      <c r="Z77">
        <v>793800</v>
      </c>
      <c r="AA77">
        <v>740700</v>
      </c>
      <c r="AB77" s="22">
        <v>626400</v>
      </c>
      <c r="AC77" s="20">
        <v>0.18672199170124482</v>
      </c>
      <c r="AD77" s="22">
        <v>8.3607636603028307E-2</v>
      </c>
      <c r="AE77">
        <v>0.1114607390300231</v>
      </c>
      <c r="AF77">
        <v>7.6385681293302546E-2</v>
      </c>
      <c r="AG77">
        <v>0.18784642032332566</v>
      </c>
      <c r="AH77">
        <v>7.1275981524249424E-2</v>
      </c>
      <c r="AI77">
        <v>6.0277136258660505E-2</v>
      </c>
      <c r="AJ77">
        <v>0.13155311778290993</v>
      </c>
      <c r="AM77">
        <f t="shared" si="1"/>
        <v>86.6</v>
      </c>
    </row>
    <row r="78" spans="1:39">
      <c r="A78" s="20">
        <v>418</v>
      </c>
      <c r="B78" t="s">
        <v>10</v>
      </c>
      <c r="C78" s="22" t="s">
        <v>36</v>
      </c>
      <c r="D78">
        <v>6050</v>
      </c>
      <c r="E78">
        <v>55</v>
      </c>
      <c r="F78" s="43">
        <v>110</v>
      </c>
      <c r="G78">
        <v>200</v>
      </c>
      <c r="H78" s="43">
        <v>0.27500000000000002</v>
      </c>
      <c r="I78" s="20">
        <v>0.65996343700000004</v>
      </c>
      <c r="J78">
        <v>0.344606947</v>
      </c>
      <c r="K78">
        <v>1</v>
      </c>
      <c r="L78">
        <v>0.88299817199999997</v>
      </c>
      <c r="M78">
        <v>0.74588665399999998</v>
      </c>
      <c r="N78">
        <v>0.69835466199999996</v>
      </c>
      <c r="O78">
        <v>0.65996343700000004</v>
      </c>
      <c r="P78">
        <v>0.35009140799999999</v>
      </c>
      <c r="Q78">
        <v>0.37751371099999997</v>
      </c>
      <c r="R78">
        <v>0.381170018</v>
      </c>
      <c r="S78">
        <v>0.27056672799999998</v>
      </c>
      <c r="T78" s="22">
        <v>0.344606947</v>
      </c>
      <c r="U78" s="20" t="s">
        <v>142</v>
      </c>
      <c r="V78" t="s">
        <v>142</v>
      </c>
      <c r="W78">
        <v>2</v>
      </c>
      <c r="X78" s="22">
        <v>2</v>
      </c>
      <c r="Y78" s="20">
        <v>112500</v>
      </c>
      <c r="Z78">
        <v>31500</v>
      </c>
      <c r="AA78">
        <v>161100</v>
      </c>
      <c r="AB78" s="22">
        <v>900</v>
      </c>
      <c r="AC78" s="20">
        <v>0.5625</v>
      </c>
      <c r="AD78" s="22">
        <v>0.98888888888888893</v>
      </c>
      <c r="AE78">
        <v>9.2975206611570244E-2</v>
      </c>
      <c r="AF78">
        <v>2.6033057851239671E-2</v>
      </c>
      <c r="AG78">
        <v>0.11900826446280992</v>
      </c>
      <c r="AH78">
        <v>0.1331404958677686</v>
      </c>
      <c r="AI78">
        <v>7.4380165289256194E-4</v>
      </c>
      <c r="AJ78">
        <v>0.13388429752066117</v>
      </c>
      <c r="AM78">
        <f t="shared" si="1"/>
        <v>30.25</v>
      </c>
    </row>
    <row r="79" spans="1:39">
      <c r="A79" s="20">
        <v>423</v>
      </c>
      <c r="B79" t="s">
        <v>10</v>
      </c>
      <c r="C79" s="22" t="s">
        <v>36</v>
      </c>
      <c r="D79">
        <v>6230</v>
      </c>
      <c r="E79">
        <v>65</v>
      </c>
      <c r="F79" s="43">
        <v>95.84615384615384</v>
      </c>
      <c r="G79">
        <v>300</v>
      </c>
      <c r="H79" s="43">
        <v>0.21666666666666667</v>
      </c>
      <c r="I79" s="20">
        <v>0.83172613299999998</v>
      </c>
      <c r="J79">
        <v>0.73191899699999996</v>
      </c>
      <c r="K79">
        <v>1</v>
      </c>
      <c r="L79">
        <v>0.96480231400000005</v>
      </c>
      <c r="M79">
        <v>0.90453230500000004</v>
      </c>
      <c r="N79">
        <v>0.88379942099999997</v>
      </c>
      <c r="O79">
        <v>0.83172613299999998</v>
      </c>
      <c r="P79">
        <v>0.82499999999999996</v>
      </c>
      <c r="Q79">
        <v>0.82401157199999997</v>
      </c>
      <c r="R79">
        <v>0.77627772399999995</v>
      </c>
      <c r="S79">
        <v>0.83944069399999999</v>
      </c>
      <c r="T79" s="22">
        <v>0.73191899699999996</v>
      </c>
      <c r="U79" s="20" t="s">
        <v>146</v>
      </c>
      <c r="V79" t="s">
        <v>143</v>
      </c>
      <c r="W79">
        <v>8</v>
      </c>
      <c r="X79" s="22">
        <v>1</v>
      </c>
      <c r="Y79" s="20">
        <v>335700</v>
      </c>
      <c r="Z79">
        <v>87300</v>
      </c>
      <c r="AA79">
        <v>139500</v>
      </c>
      <c r="AB79" s="22">
        <v>32400</v>
      </c>
      <c r="AC79" s="20">
        <v>0.58723404255319145</v>
      </c>
      <c r="AD79" s="22">
        <v>0.62303664921465973</v>
      </c>
      <c r="AE79">
        <v>0.17961476725521669</v>
      </c>
      <c r="AF79">
        <v>4.6709470304975922E-2</v>
      </c>
      <c r="AG79">
        <v>0.2263242375601926</v>
      </c>
      <c r="AH79">
        <v>7.463884430176565E-2</v>
      </c>
      <c r="AI79">
        <v>1.7335473515248796E-2</v>
      </c>
      <c r="AJ79">
        <v>9.1974317817014442E-2</v>
      </c>
      <c r="AM79">
        <f t="shared" si="1"/>
        <v>31.15</v>
      </c>
    </row>
    <row r="80" spans="1:39">
      <c r="A80" s="20">
        <v>426</v>
      </c>
      <c r="B80" t="s">
        <v>10</v>
      </c>
      <c r="C80" s="22" t="s">
        <v>36</v>
      </c>
      <c r="D80">
        <v>2460</v>
      </c>
      <c r="E80">
        <v>90</v>
      </c>
      <c r="F80" s="43">
        <v>27.333333333333332</v>
      </c>
      <c r="G80">
        <v>260</v>
      </c>
      <c r="H80" s="43">
        <v>0.34615384615384615</v>
      </c>
      <c r="I80" s="20">
        <v>0.63570391900000001</v>
      </c>
      <c r="J80">
        <v>0.70537010200000005</v>
      </c>
      <c r="K80">
        <v>1</v>
      </c>
      <c r="L80">
        <v>0.91727140799999995</v>
      </c>
      <c r="M80">
        <v>0.99854862099999997</v>
      </c>
      <c r="N80">
        <v>0.68650217700000005</v>
      </c>
      <c r="O80">
        <v>0.63570391900000001</v>
      </c>
      <c r="P80">
        <v>0.63860667599999998</v>
      </c>
      <c r="Q80">
        <v>0.64</v>
      </c>
      <c r="R80">
        <v>0.67779390399999995</v>
      </c>
      <c r="S80">
        <v>0.63280116099999995</v>
      </c>
      <c r="T80" s="22">
        <v>0.70537010200000005</v>
      </c>
      <c r="U80" s="20" t="s">
        <v>143</v>
      </c>
      <c r="V80" t="s">
        <v>143</v>
      </c>
      <c r="W80">
        <v>2</v>
      </c>
      <c r="X80" s="22">
        <v>2</v>
      </c>
      <c r="Y80" s="20">
        <v>34200</v>
      </c>
      <c r="Z80">
        <v>65700</v>
      </c>
      <c r="AA80">
        <v>69300</v>
      </c>
      <c r="AB80" s="22">
        <v>51300</v>
      </c>
      <c r="AC80" s="20">
        <v>-0.31531531531531531</v>
      </c>
      <c r="AD80" s="22">
        <v>0.14925373134328357</v>
      </c>
      <c r="AE80">
        <v>5.3470919324577863E-2</v>
      </c>
      <c r="AF80">
        <v>0.10272045028142589</v>
      </c>
      <c r="AG80">
        <v>0.15619136960600374</v>
      </c>
      <c r="AH80">
        <v>0.10834896810506567</v>
      </c>
      <c r="AI80">
        <v>8.0206378986866791E-2</v>
      </c>
      <c r="AJ80">
        <v>0.18855534709193245</v>
      </c>
      <c r="AM80">
        <f t="shared" si="1"/>
        <v>12.3</v>
      </c>
    </row>
    <row r="81" spans="1:39">
      <c r="A81" s="20">
        <v>427</v>
      </c>
      <c r="B81" t="s">
        <v>12</v>
      </c>
      <c r="C81" s="22" t="s">
        <v>36</v>
      </c>
      <c r="D81">
        <v>5035</v>
      </c>
      <c r="E81">
        <v>880</v>
      </c>
      <c r="F81" s="43">
        <v>5.7215909090909092</v>
      </c>
      <c r="G81">
        <v>260</v>
      </c>
      <c r="H81" s="43">
        <v>3.3846153846153846</v>
      </c>
      <c r="I81" s="20">
        <v>0.32543209899999997</v>
      </c>
      <c r="J81">
        <v>0.29135802500000002</v>
      </c>
      <c r="K81">
        <v>1</v>
      </c>
      <c r="L81">
        <v>0.87209876500000005</v>
      </c>
      <c r="M81">
        <v>0.56296296300000004</v>
      </c>
      <c r="N81">
        <v>0.43358024699999997</v>
      </c>
      <c r="O81">
        <v>0.32543209899999997</v>
      </c>
      <c r="P81">
        <v>0.324444444</v>
      </c>
      <c r="Q81">
        <v>0.31654321000000002</v>
      </c>
      <c r="R81">
        <v>0.29580246900000001</v>
      </c>
      <c r="S81">
        <v>0.29086419800000002</v>
      </c>
      <c r="T81" s="22">
        <v>0.29135802500000002</v>
      </c>
      <c r="U81" s="20" t="s">
        <v>142</v>
      </c>
      <c r="V81" t="s">
        <v>144</v>
      </c>
      <c r="W81">
        <v>4</v>
      </c>
      <c r="X81" s="22"/>
      <c r="Y81" s="20">
        <v>441900</v>
      </c>
      <c r="Z81">
        <v>900</v>
      </c>
      <c r="AA81">
        <v>0</v>
      </c>
      <c r="AB81" s="22">
        <v>0</v>
      </c>
      <c r="AC81" s="20">
        <v>0.99593495934959353</v>
      </c>
      <c r="AD81" s="22" t="s">
        <v>145</v>
      </c>
      <c r="AE81">
        <v>0.33756015583225119</v>
      </c>
      <c r="AF81">
        <v>6.8749522572759915E-4</v>
      </c>
      <c r="AG81">
        <v>0.33824765105797877</v>
      </c>
      <c r="AH81">
        <v>0</v>
      </c>
      <c r="AI81">
        <v>0</v>
      </c>
      <c r="AJ81">
        <v>0</v>
      </c>
      <c r="AM81">
        <f t="shared" si="1"/>
        <v>25.175000000000001</v>
      </c>
    </row>
    <row r="82" spans="1:39">
      <c r="A82" s="20">
        <v>428</v>
      </c>
      <c r="B82" t="s">
        <v>12</v>
      </c>
      <c r="C82" s="22" t="s">
        <v>36</v>
      </c>
      <c r="D82">
        <v>2900</v>
      </c>
      <c r="E82">
        <v>890</v>
      </c>
      <c r="F82" s="43">
        <v>3.2584269662921348</v>
      </c>
      <c r="G82">
        <v>260</v>
      </c>
      <c r="H82" s="43">
        <v>3.4230769230769229</v>
      </c>
      <c r="I82" s="20">
        <v>9.1400000000000006E-3</v>
      </c>
      <c r="J82">
        <v>0</v>
      </c>
      <c r="K82">
        <v>1</v>
      </c>
      <c r="L82">
        <v>0.13711000000000001</v>
      </c>
      <c r="M82">
        <v>2.9250000000000002E-2</v>
      </c>
      <c r="N82">
        <v>1.83E-3</v>
      </c>
      <c r="O82">
        <v>9.1400000000000006E-3</v>
      </c>
      <c r="P82">
        <v>0</v>
      </c>
      <c r="Q82">
        <v>1.83E-3</v>
      </c>
      <c r="R82">
        <v>1.83E-3</v>
      </c>
      <c r="S82">
        <v>1.83E-3</v>
      </c>
      <c r="T82" s="22">
        <v>0</v>
      </c>
      <c r="U82" s="20" t="s">
        <v>142</v>
      </c>
      <c r="V82" t="s">
        <v>142</v>
      </c>
      <c r="W82">
        <v>1</v>
      </c>
      <c r="X82" s="22">
        <v>1</v>
      </c>
      <c r="Y82" s="20">
        <v>174600</v>
      </c>
      <c r="Z82">
        <v>36000</v>
      </c>
      <c r="AA82">
        <v>133200</v>
      </c>
      <c r="AB82" s="22">
        <v>0</v>
      </c>
      <c r="AC82" s="20">
        <v>0.65811965811965811</v>
      </c>
      <c r="AD82" s="22">
        <v>1</v>
      </c>
      <c r="AE82">
        <v>0.23156498673740053</v>
      </c>
      <c r="AF82">
        <v>4.7745358090185673E-2</v>
      </c>
      <c r="AG82">
        <v>0.27931034482758621</v>
      </c>
      <c r="AH82">
        <v>0.17665782493368701</v>
      </c>
      <c r="AI82">
        <v>0</v>
      </c>
      <c r="AJ82">
        <v>0.17665782493368701</v>
      </c>
      <c r="AM82">
        <f t="shared" si="1"/>
        <v>14.5</v>
      </c>
    </row>
    <row r="83" spans="1:39">
      <c r="A83" s="20">
        <v>429</v>
      </c>
      <c r="B83" t="s">
        <v>10</v>
      </c>
      <c r="C83" s="22" t="s">
        <v>36</v>
      </c>
      <c r="D83">
        <v>7635</v>
      </c>
      <c r="E83">
        <v>185</v>
      </c>
      <c r="F83" s="43">
        <v>41.270270270270274</v>
      </c>
      <c r="G83">
        <v>260</v>
      </c>
      <c r="H83" s="43">
        <v>0.71153846153846156</v>
      </c>
      <c r="I83" s="20">
        <v>0.57079081600000003</v>
      </c>
      <c r="J83">
        <v>0.411352041</v>
      </c>
      <c r="K83">
        <v>1</v>
      </c>
      <c r="L83">
        <v>0.982780612</v>
      </c>
      <c r="M83">
        <v>0.75127551000000004</v>
      </c>
      <c r="N83">
        <v>0.56505101999999996</v>
      </c>
      <c r="O83">
        <v>0.57079081600000003</v>
      </c>
      <c r="P83">
        <v>0.75063775499999996</v>
      </c>
      <c r="Q83">
        <v>0.68813775499999996</v>
      </c>
      <c r="R83">
        <v>0.37244897999999999</v>
      </c>
      <c r="S83">
        <v>0.36926020399999998</v>
      </c>
      <c r="T83" s="22">
        <v>0.411352041</v>
      </c>
      <c r="U83" s="20" t="s">
        <v>142</v>
      </c>
      <c r="V83" t="s">
        <v>142</v>
      </c>
      <c r="W83">
        <v>2</v>
      </c>
      <c r="X83" s="22">
        <v>6</v>
      </c>
      <c r="Y83" s="20">
        <v>627300</v>
      </c>
      <c r="Z83">
        <v>153000</v>
      </c>
      <c r="AA83">
        <v>555300</v>
      </c>
      <c r="AB83" s="22">
        <v>0</v>
      </c>
      <c r="AC83" s="20">
        <v>0.60784313725490191</v>
      </c>
      <c r="AD83" s="22">
        <v>1</v>
      </c>
      <c r="AE83">
        <v>0.31600423152486024</v>
      </c>
      <c r="AF83">
        <v>7.7074202810941517E-2</v>
      </c>
      <c r="AG83">
        <v>0.39307843433580175</v>
      </c>
      <c r="AH83">
        <v>0.27973401843735834</v>
      </c>
      <c r="AI83">
        <v>0</v>
      </c>
      <c r="AJ83">
        <v>0.27973401843735834</v>
      </c>
      <c r="AM83">
        <f t="shared" si="1"/>
        <v>38.174999999999997</v>
      </c>
    </row>
    <row r="84" spans="1:39">
      <c r="A84" s="20">
        <v>430</v>
      </c>
      <c r="B84" t="s">
        <v>10</v>
      </c>
      <c r="C84" s="22" t="s">
        <v>36</v>
      </c>
      <c r="D84">
        <v>4930</v>
      </c>
      <c r="E84">
        <v>90</v>
      </c>
      <c r="F84" s="43">
        <v>54.777777777777779</v>
      </c>
      <c r="G84">
        <v>300</v>
      </c>
      <c r="H84" s="43">
        <v>0.3</v>
      </c>
      <c r="I84" s="20">
        <v>0.83006093400000003</v>
      </c>
      <c r="J84">
        <v>0.62220717699999994</v>
      </c>
      <c r="K84">
        <v>1</v>
      </c>
      <c r="L84">
        <v>1.0047393360000001</v>
      </c>
      <c r="M84">
        <v>0.91536899100000002</v>
      </c>
      <c r="N84">
        <v>0.85037237600000004</v>
      </c>
      <c r="O84">
        <v>0.83006093400000003</v>
      </c>
      <c r="P84">
        <v>0.93364928899999999</v>
      </c>
      <c r="Q84">
        <v>0.90995260700000002</v>
      </c>
      <c r="R84">
        <v>0.678402167</v>
      </c>
      <c r="S84">
        <v>0.58903182099999996</v>
      </c>
      <c r="T84" s="22">
        <v>0.62220717699999994</v>
      </c>
      <c r="U84" s="20" t="s">
        <v>143</v>
      </c>
      <c r="V84" t="s">
        <v>143</v>
      </c>
      <c r="W84">
        <v>6</v>
      </c>
      <c r="X84" s="22">
        <v>6</v>
      </c>
      <c r="Y84" s="20">
        <v>153900</v>
      </c>
      <c r="Z84">
        <v>158400</v>
      </c>
      <c r="AA84">
        <v>199800</v>
      </c>
      <c r="AB84" s="22">
        <v>50400</v>
      </c>
      <c r="AC84" s="20">
        <v>-1.4409221902017291E-2</v>
      </c>
      <c r="AD84" s="22">
        <v>0.59712230215827333</v>
      </c>
      <c r="AE84">
        <v>0.10405679513184585</v>
      </c>
      <c r="AF84">
        <v>0.10709939148073022</v>
      </c>
      <c r="AG84">
        <v>0.21115618661257607</v>
      </c>
      <c r="AH84">
        <v>0.13509127789046654</v>
      </c>
      <c r="AI84">
        <v>3.4077079107505071E-2</v>
      </c>
      <c r="AJ84">
        <v>0.16916835699797161</v>
      </c>
      <c r="AM84">
        <f t="shared" si="1"/>
        <v>24.65</v>
      </c>
    </row>
    <row r="85" spans="1:39">
      <c r="A85" s="20">
        <v>435</v>
      </c>
      <c r="B85" t="s">
        <v>12</v>
      </c>
      <c r="C85" s="22" t="s">
        <v>40</v>
      </c>
      <c r="D85">
        <v>14460</v>
      </c>
      <c r="E85">
        <v>1515</v>
      </c>
      <c r="F85" s="43">
        <v>9.5445544554455441</v>
      </c>
      <c r="G85">
        <v>360</v>
      </c>
      <c r="H85" s="43">
        <v>4.208333333333333</v>
      </c>
      <c r="I85" s="20">
        <v>0.87814622499999995</v>
      </c>
      <c r="J85">
        <v>0.53635637199999997</v>
      </c>
      <c r="K85">
        <v>1</v>
      </c>
      <c r="L85">
        <v>0.99760287700000005</v>
      </c>
      <c r="M85">
        <v>0.98761486200000004</v>
      </c>
      <c r="N85">
        <v>0.91729924100000004</v>
      </c>
      <c r="O85">
        <v>0.87814622499999995</v>
      </c>
      <c r="P85">
        <v>0.65521374399999999</v>
      </c>
      <c r="Q85">
        <v>0.79284858199999997</v>
      </c>
      <c r="R85">
        <v>0.69436675999999997</v>
      </c>
      <c r="S85">
        <v>0.60047942499999996</v>
      </c>
      <c r="T85" s="22">
        <v>0.53635637199999997</v>
      </c>
      <c r="U85" s="20" t="s">
        <v>142</v>
      </c>
      <c r="V85" t="s">
        <v>142</v>
      </c>
      <c r="W85">
        <v>9</v>
      </c>
      <c r="X85" s="22">
        <v>18</v>
      </c>
      <c r="Y85" s="20">
        <v>1738800</v>
      </c>
      <c r="Z85">
        <v>77400</v>
      </c>
      <c r="AA85">
        <v>1241100</v>
      </c>
      <c r="AB85" s="22">
        <v>0</v>
      </c>
      <c r="AC85" s="20">
        <v>0.91476709613478691</v>
      </c>
      <c r="AD85" s="22">
        <v>1</v>
      </c>
      <c r="AE85">
        <v>0.33402489626556015</v>
      </c>
      <c r="AF85">
        <v>1.4868603042876901E-2</v>
      </c>
      <c r="AG85">
        <v>0.34889349930843705</v>
      </c>
      <c r="AH85">
        <v>0.23841632088520057</v>
      </c>
      <c r="AI85">
        <v>0</v>
      </c>
      <c r="AJ85">
        <v>0.23841632088520057</v>
      </c>
      <c r="AM85">
        <f t="shared" si="1"/>
        <v>72.3</v>
      </c>
    </row>
    <row r="86" spans="1:39">
      <c r="A86" s="20">
        <v>436</v>
      </c>
      <c r="B86" t="s">
        <v>10</v>
      </c>
      <c r="C86" s="22" t="s">
        <v>36</v>
      </c>
      <c r="D86">
        <v>3245</v>
      </c>
      <c r="E86">
        <v>155</v>
      </c>
      <c r="F86" s="43">
        <v>20.93548387096774</v>
      </c>
      <c r="G86">
        <v>300</v>
      </c>
      <c r="H86" s="43">
        <v>0.51666666666666672</v>
      </c>
      <c r="I86" s="20">
        <v>0.87626774799999996</v>
      </c>
      <c r="K86">
        <v>1</v>
      </c>
      <c r="L86">
        <v>1.020283976</v>
      </c>
      <c r="M86">
        <v>0.96855983800000001</v>
      </c>
      <c r="N86">
        <v>0.83468559799999997</v>
      </c>
      <c r="O86">
        <v>0.87626774799999996</v>
      </c>
      <c r="P86">
        <v>0.66937119700000003</v>
      </c>
      <c r="Q86">
        <v>0.65415821500000004</v>
      </c>
      <c r="R86">
        <v>0.79310344799999999</v>
      </c>
      <c r="S86">
        <v>0.50608519299999999</v>
      </c>
      <c r="T86" s="22"/>
      <c r="U86" s="20" t="s">
        <v>143</v>
      </c>
      <c r="V86" t="s">
        <v>143</v>
      </c>
      <c r="W86">
        <v>3</v>
      </c>
      <c r="X86" s="22">
        <v>3</v>
      </c>
      <c r="Y86" s="20">
        <v>0</v>
      </c>
      <c r="Z86">
        <v>84600</v>
      </c>
      <c r="AA86">
        <v>5400</v>
      </c>
      <c r="AB86" s="22">
        <v>67500</v>
      </c>
      <c r="AC86" s="20">
        <v>-1</v>
      </c>
      <c r="AD86" s="22">
        <v>-0.85185185185185186</v>
      </c>
      <c r="AE86">
        <v>0</v>
      </c>
      <c r="AF86">
        <v>8.6902927580893685E-2</v>
      </c>
      <c r="AG86">
        <v>8.6902927580893685E-2</v>
      </c>
      <c r="AH86">
        <v>5.5469953775038518E-3</v>
      </c>
      <c r="AI86">
        <v>6.9337442218798145E-2</v>
      </c>
      <c r="AJ86">
        <v>7.4884437596301992E-2</v>
      </c>
      <c r="AM86">
        <f t="shared" si="1"/>
        <v>16.225000000000001</v>
      </c>
    </row>
    <row r="87" spans="1:39">
      <c r="A87" s="20">
        <v>437</v>
      </c>
      <c r="B87" t="s">
        <v>10</v>
      </c>
      <c r="C87" s="22" t="s">
        <v>40</v>
      </c>
      <c r="D87">
        <v>17070</v>
      </c>
      <c r="E87">
        <v>170</v>
      </c>
      <c r="F87" s="43">
        <v>100.41176470588235</v>
      </c>
      <c r="G87">
        <v>340</v>
      </c>
      <c r="H87" s="43">
        <v>0.5</v>
      </c>
      <c r="I87" s="20">
        <v>0.85426904199999998</v>
      </c>
      <c r="K87">
        <v>1</v>
      </c>
      <c r="L87">
        <v>0.92245085999999998</v>
      </c>
      <c r="M87">
        <v>0.96114864899999997</v>
      </c>
      <c r="N87">
        <v>0.93964987700000002</v>
      </c>
      <c r="O87">
        <v>0.85426904199999998</v>
      </c>
      <c r="P87">
        <v>0.82616707599999994</v>
      </c>
      <c r="Q87">
        <v>0.86655405399999996</v>
      </c>
      <c r="R87">
        <v>0.81326781299999995</v>
      </c>
      <c r="T87" s="22"/>
      <c r="U87" s="20" t="s">
        <v>142</v>
      </c>
      <c r="V87" t="s">
        <v>142</v>
      </c>
      <c r="W87">
        <v>4</v>
      </c>
      <c r="X87" s="22">
        <v>5</v>
      </c>
      <c r="Y87" s="20">
        <v>563400</v>
      </c>
      <c r="Z87">
        <v>45000</v>
      </c>
      <c r="AA87">
        <v>573300</v>
      </c>
      <c r="AB87" s="22">
        <v>0</v>
      </c>
      <c r="AC87" s="20">
        <v>0.85207100591715978</v>
      </c>
      <c r="AD87" s="22">
        <v>1</v>
      </c>
      <c r="AE87">
        <v>9.7074330610979018E-2</v>
      </c>
      <c r="AF87">
        <v>7.7535407836245218E-3</v>
      </c>
      <c r="AG87">
        <v>0.10482787139460353</v>
      </c>
      <c r="AH87">
        <v>9.8780109583376408E-2</v>
      </c>
      <c r="AI87">
        <v>0</v>
      </c>
      <c r="AJ87">
        <v>9.8780109583376408E-2</v>
      </c>
      <c r="AM87">
        <f t="shared" si="1"/>
        <v>85.35</v>
      </c>
    </row>
    <row r="88" spans="1:39">
      <c r="A88" s="20">
        <v>438</v>
      </c>
      <c r="B88" t="s">
        <v>10</v>
      </c>
      <c r="C88" s="22" t="s">
        <v>40</v>
      </c>
      <c r="D88">
        <v>14000</v>
      </c>
      <c r="E88">
        <v>60</v>
      </c>
      <c r="F88" s="43">
        <v>233.33333333333334</v>
      </c>
      <c r="G88">
        <v>340</v>
      </c>
      <c r="H88" s="43">
        <v>0.17647058823529413</v>
      </c>
      <c r="I88" s="20">
        <v>0.83325460600000001</v>
      </c>
      <c r="J88">
        <v>0.788852149</v>
      </c>
      <c r="K88">
        <v>1</v>
      </c>
      <c r="L88">
        <v>0.88049126099999997</v>
      </c>
      <c r="M88">
        <v>0.87387812899999995</v>
      </c>
      <c r="N88">
        <v>0.89017477599999995</v>
      </c>
      <c r="O88">
        <v>0.83325460600000001</v>
      </c>
      <c r="P88">
        <v>0.80987246099999999</v>
      </c>
      <c r="Q88">
        <v>0.80963627800000004</v>
      </c>
      <c r="R88">
        <v>0.69012753900000001</v>
      </c>
      <c r="S88">
        <v>0.84411903600000004</v>
      </c>
      <c r="T88" s="22">
        <v>0.788852149</v>
      </c>
      <c r="U88" s="20" t="s">
        <v>142</v>
      </c>
      <c r="V88" t="s">
        <v>142</v>
      </c>
      <c r="W88">
        <v>13</v>
      </c>
      <c r="X88" s="22">
        <v>4</v>
      </c>
      <c r="Y88" s="20">
        <v>478800</v>
      </c>
      <c r="Z88">
        <v>34200</v>
      </c>
      <c r="AA88">
        <v>683100</v>
      </c>
      <c r="AB88" s="22">
        <v>0</v>
      </c>
      <c r="AC88" s="20">
        <v>0.8666666666666667</v>
      </c>
      <c r="AD88" s="22">
        <v>1</v>
      </c>
      <c r="AE88">
        <v>0.10058823529411764</v>
      </c>
      <c r="AF88">
        <v>7.1848739495798319E-3</v>
      </c>
      <c r="AG88">
        <v>0.10777310924369747</v>
      </c>
      <c r="AH88">
        <v>0.14350840336134454</v>
      </c>
      <c r="AI88">
        <v>0</v>
      </c>
      <c r="AJ88">
        <v>0.14350840336134454</v>
      </c>
      <c r="AM88">
        <f t="shared" si="1"/>
        <v>70</v>
      </c>
    </row>
    <row r="89" spans="1:39">
      <c r="A89" s="20">
        <v>439</v>
      </c>
      <c r="B89" t="s">
        <v>12</v>
      </c>
      <c r="C89" s="22" t="s">
        <v>40</v>
      </c>
      <c r="D89">
        <v>5390</v>
      </c>
      <c r="E89">
        <v>390</v>
      </c>
      <c r="F89" s="43">
        <v>13.820512820512821</v>
      </c>
      <c r="G89">
        <v>360</v>
      </c>
      <c r="H89" s="43">
        <v>1.0833333333333333</v>
      </c>
      <c r="I89" s="20">
        <v>0.98369870699999995</v>
      </c>
      <c r="J89">
        <v>0.94997189400000004</v>
      </c>
      <c r="K89">
        <v>1</v>
      </c>
      <c r="L89">
        <v>0.93760539600000004</v>
      </c>
      <c r="M89">
        <v>0.86284429500000004</v>
      </c>
      <c r="N89">
        <v>0.95446880300000003</v>
      </c>
      <c r="O89">
        <v>0.98369870699999995</v>
      </c>
      <c r="P89">
        <v>0.82237211899999996</v>
      </c>
      <c r="Q89">
        <v>0.91849353600000005</v>
      </c>
      <c r="R89">
        <v>0.85216413700000004</v>
      </c>
      <c r="S89">
        <v>0.95503091600000001</v>
      </c>
      <c r="T89" s="22">
        <v>0.94997189400000004</v>
      </c>
      <c r="U89" s="20" t="s">
        <v>144</v>
      </c>
      <c r="V89" t="s">
        <v>142</v>
      </c>
      <c r="X89" s="22">
        <v>13</v>
      </c>
      <c r="Y89" s="20">
        <v>0</v>
      </c>
      <c r="Z89">
        <v>0</v>
      </c>
      <c r="AA89">
        <v>447300</v>
      </c>
      <c r="AB89" s="22">
        <v>0</v>
      </c>
      <c r="AC89" s="20" t="s">
        <v>145</v>
      </c>
      <c r="AD89" s="22">
        <v>1</v>
      </c>
      <c r="AE89">
        <v>0</v>
      </c>
      <c r="AF89">
        <v>0</v>
      </c>
      <c r="AG89">
        <v>0</v>
      </c>
      <c r="AH89">
        <v>0.23051948051948051</v>
      </c>
      <c r="AI89">
        <v>0</v>
      </c>
      <c r="AJ89">
        <v>0.23051948051948051</v>
      </c>
      <c r="AM89">
        <f t="shared" si="1"/>
        <v>26.95</v>
      </c>
    </row>
    <row r="90" spans="1:39">
      <c r="A90" s="20">
        <v>440</v>
      </c>
      <c r="B90" t="s">
        <v>10</v>
      </c>
      <c r="C90" s="22" t="s">
        <v>40</v>
      </c>
      <c r="D90">
        <v>10820</v>
      </c>
      <c r="E90">
        <v>55</v>
      </c>
      <c r="F90" s="43">
        <v>196.72727272727272</v>
      </c>
      <c r="G90">
        <v>320</v>
      </c>
      <c r="H90" s="43">
        <v>0.171875</v>
      </c>
      <c r="I90" s="20">
        <v>0.94226190499999996</v>
      </c>
      <c r="J90">
        <v>0.85952381</v>
      </c>
      <c r="K90">
        <v>1</v>
      </c>
      <c r="L90">
        <v>0.93363095200000001</v>
      </c>
      <c r="M90">
        <v>0.95267857099999997</v>
      </c>
      <c r="N90">
        <v>0.97321428600000004</v>
      </c>
      <c r="O90">
        <v>0.94226190499999996</v>
      </c>
      <c r="P90">
        <v>0.87827381000000004</v>
      </c>
      <c r="Q90">
        <v>0.97291666700000001</v>
      </c>
      <c r="R90">
        <v>0.82708333300000003</v>
      </c>
      <c r="S90">
        <v>0.67529761899999996</v>
      </c>
      <c r="T90" s="22">
        <v>0.85952381</v>
      </c>
      <c r="U90" s="20" t="s">
        <v>143</v>
      </c>
      <c r="V90" t="s">
        <v>143</v>
      </c>
      <c r="W90">
        <v>11</v>
      </c>
      <c r="X90" s="22">
        <v>5</v>
      </c>
      <c r="Y90" s="20">
        <v>345600</v>
      </c>
      <c r="Z90">
        <v>194400</v>
      </c>
      <c r="AA90">
        <v>366300</v>
      </c>
      <c r="AB90" s="22">
        <v>59400</v>
      </c>
      <c r="AC90" s="20">
        <v>0.28000000000000003</v>
      </c>
      <c r="AD90" s="22">
        <v>0.72093023255813948</v>
      </c>
      <c r="AE90">
        <v>9.9815157116451017E-2</v>
      </c>
      <c r="AF90">
        <v>5.61460258780037E-2</v>
      </c>
      <c r="AG90">
        <v>0.15596118299445472</v>
      </c>
      <c r="AH90">
        <v>0.10579366913123844</v>
      </c>
      <c r="AI90">
        <v>1.7155730129390017E-2</v>
      </c>
      <c r="AJ90">
        <v>0.12294939926062846</v>
      </c>
      <c r="AM90">
        <f t="shared" si="1"/>
        <v>54.1</v>
      </c>
    </row>
    <row r="91" spans="1:39">
      <c r="A91" s="20">
        <v>441</v>
      </c>
      <c r="B91" t="s">
        <v>10</v>
      </c>
      <c r="C91" s="22" t="s">
        <v>40</v>
      </c>
      <c r="D91">
        <v>7105</v>
      </c>
      <c r="E91">
        <v>155</v>
      </c>
      <c r="F91" s="43">
        <v>45.838709677419352</v>
      </c>
      <c r="G91">
        <v>320</v>
      </c>
      <c r="H91" s="43">
        <v>0.484375</v>
      </c>
      <c r="I91" s="20">
        <v>0.69579593799999995</v>
      </c>
      <c r="J91">
        <v>0.57203590000000004</v>
      </c>
      <c r="K91">
        <v>1</v>
      </c>
      <c r="L91">
        <v>0.85734529999999998</v>
      </c>
      <c r="M91">
        <v>0.94378837999999998</v>
      </c>
      <c r="N91">
        <v>0.98866320299999999</v>
      </c>
      <c r="O91">
        <v>0.69579593799999995</v>
      </c>
      <c r="P91">
        <v>0.66461974499999998</v>
      </c>
      <c r="Q91">
        <v>0.73027869599999995</v>
      </c>
      <c r="R91">
        <v>0.70288143599999997</v>
      </c>
      <c r="S91">
        <v>0.45441662700000002</v>
      </c>
      <c r="T91" s="22">
        <v>0.57203590000000004</v>
      </c>
      <c r="U91" s="20" t="s">
        <v>143</v>
      </c>
      <c r="V91" t="s">
        <v>142</v>
      </c>
      <c r="W91">
        <v>11</v>
      </c>
      <c r="X91" s="22">
        <v>4</v>
      </c>
      <c r="Y91" s="20">
        <v>495000</v>
      </c>
      <c r="Z91">
        <v>169200</v>
      </c>
      <c r="AA91">
        <v>308700</v>
      </c>
      <c r="AB91" s="22">
        <v>14400</v>
      </c>
      <c r="AC91" s="20">
        <v>0.49051490514905149</v>
      </c>
      <c r="AD91" s="22">
        <v>0.91086350974930363</v>
      </c>
      <c r="AE91">
        <v>0.21771639690358902</v>
      </c>
      <c r="AF91">
        <v>7.441942294159043E-2</v>
      </c>
      <c r="AG91">
        <v>0.29213581984517945</v>
      </c>
      <c r="AH91">
        <v>0.13577586206896552</v>
      </c>
      <c r="AI91">
        <v>6.3335679099225895E-3</v>
      </c>
      <c r="AJ91">
        <v>0.14210942997888812</v>
      </c>
      <c r="AM91">
        <f t="shared" si="1"/>
        <v>35.524999999999999</v>
      </c>
    </row>
    <row r="92" spans="1:39">
      <c r="A92" s="20">
        <v>443</v>
      </c>
      <c r="B92" t="s">
        <v>10</v>
      </c>
      <c r="C92" s="22" t="s">
        <v>40</v>
      </c>
      <c r="D92">
        <v>5100</v>
      </c>
      <c r="E92">
        <v>150</v>
      </c>
      <c r="F92" s="43">
        <v>34</v>
      </c>
      <c r="G92">
        <v>360</v>
      </c>
      <c r="H92" s="43">
        <v>0.41666666666666669</v>
      </c>
      <c r="I92" s="20">
        <v>0.96731651399999996</v>
      </c>
      <c r="J92">
        <v>0.916857798</v>
      </c>
      <c r="K92">
        <v>1</v>
      </c>
      <c r="L92">
        <v>0.90596330300000005</v>
      </c>
      <c r="M92">
        <v>0.98394495400000004</v>
      </c>
      <c r="N92">
        <v>0.93233944999999996</v>
      </c>
      <c r="O92">
        <v>0.96731651399999996</v>
      </c>
      <c r="P92">
        <v>0.938073394</v>
      </c>
      <c r="Q92">
        <v>0.84977064199999996</v>
      </c>
      <c r="R92">
        <v>1.0240825689999999</v>
      </c>
      <c r="S92">
        <v>0.84862385299999998</v>
      </c>
      <c r="T92" s="22">
        <v>0.916857798</v>
      </c>
      <c r="U92" s="20" t="s">
        <v>143</v>
      </c>
      <c r="V92" t="s">
        <v>142</v>
      </c>
      <c r="W92">
        <v>32</v>
      </c>
      <c r="X92" s="22">
        <v>10</v>
      </c>
      <c r="Y92" s="20">
        <v>40500</v>
      </c>
      <c r="Z92">
        <v>251100</v>
      </c>
      <c r="AA92">
        <v>423000</v>
      </c>
      <c r="AB92" s="22">
        <v>0</v>
      </c>
      <c r="AC92" s="20">
        <v>-0.72222222222222221</v>
      </c>
      <c r="AD92" s="22">
        <v>1</v>
      </c>
      <c r="AE92">
        <v>2.2058823529411766E-2</v>
      </c>
      <c r="AF92">
        <v>0.13676470588235295</v>
      </c>
      <c r="AG92">
        <v>0.15882352941176472</v>
      </c>
      <c r="AH92">
        <v>0.23039215686274508</v>
      </c>
      <c r="AI92">
        <v>0</v>
      </c>
      <c r="AJ92">
        <v>0.23039215686274508</v>
      </c>
      <c r="AM92">
        <f t="shared" si="1"/>
        <v>25.5</v>
      </c>
    </row>
    <row r="93" spans="1:39">
      <c r="A93" s="20">
        <v>444</v>
      </c>
      <c r="B93" t="s">
        <v>10</v>
      </c>
      <c r="C93" s="22" t="s">
        <v>40</v>
      </c>
      <c r="D93">
        <v>10420</v>
      </c>
      <c r="E93">
        <v>55</v>
      </c>
      <c r="F93" s="43">
        <v>189.45454545454547</v>
      </c>
      <c r="G93">
        <v>380</v>
      </c>
      <c r="H93" s="43">
        <v>0.14473684210526316</v>
      </c>
      <c r="I93" s="20">
        <v>0.84436160299999996</v>
      </c>
      <c r="J93">
        <v>0.75147561399999996</v>
      </c>
      <c r="K93">
        <v>1</v>
      </c>
      <c r="L93">
        <v>0.87884436200000005</v>
      </c>
      <c r="M93">
        <v>0.95184840000000004</v>
      </c>
      <c r="N93">
        <v>0.80304442399999998</v>
      </c>
      <c r="O93">
        <v>0.84436160299999996</v>
      </c>
      <c r="P93">
        <v>0.821062442</v>
      </c>
      <c r="Q93">
        <v>0.80925753300000003</v>
      </c>
      <c r="R93">
        <v>0.84653619099999999</v>
      </c>
      <c r="S93">
        <v>0.82510096300000002</v>
      </c>
      <c r="T93" s="22">
        <v>0.75147561399999996</v>
      </c>
      <c r="U93" s="20" t="s">
        <v>142</v>
      </c>
      <c r="V93" t="s">
        <v>142</v>
      </c>
      <c r="W93">
        <v>5</v>
      </c>
      <c r="X93" s="22">
        <v>4</v>
      </c>
      <c r="Y93" s="20">
        <v>336600</v>
      </c>
      <c r="Z93">
        <v>84600</v>
      </c>
      <c r="AA93">
        <v>528300</v>
      </c>
      <c r="AB93" s="22">
        <v>900</v>
      </c>
      <c r="AC93" s="20">
        <v>0.59829059829059827</v>
      </c>
      <c r="AD93" s="22">
        <v>0.99659863945578231</v>
      </c>
      <c r="AE93">
        <v>8.5008586725931909E-2</v>
      </c>
      <c r="AF93">
        <v>2.1365794524699465E-2</v>
      </c>
      <c r="AG93">
        <v>0.10637438125063137</v>
      </c>
      <c r="AH93">
        <v>0.13342256793615517</v>
      </c>
      <c r="AI93">
        <v>2.2729568643297302E-4</v>
      </c>
      <c r="AJ93">
        <v>0.13364986362258816</v>
      </c>
      <c r="AM93">
        <f t="shared" si="1"/>
        <v>52.1</v>
      </c>
    </row>
    <row r="94" spans="1:39">
      <c r="A94" s="20">
        <v>445</v>
      </c>
      <c r="B94" t="s">
        <v>10</v>
      </c>
      <c r="C94" s="22" t="s">
        <v>45</v>
      </c>
      <c r="D94">
        <v>6295</v>
      </c>
      <c r="E94">
        <v>50</v>
      </c>
      <c r="F94" s="43">
        <v>125.9</v>
      </c>
      <c r="G94">
        <v>200</v>
      </c>
      <c r="H94" s="43">
        <v>0.25</v>
      </c>
      <c r="I94" s="20">
        <v>0.71000788000000004</v>
      </c>
      <c r="J94">
        <v>0.77777777800000003</v>
      </c>
      <c r="K94">
        <v>1</v>
      </c>
      <c r="L94">
        <v>1.0591016550000001</v>
      </c>
      <c r="M94">
        <v>0.81166272699999997</v>
      </c>
      <c r="N94">
        <v>0.98896769100000004</v>
      </c>
      <c r="O94">
        <v>0.71000788000000004</v>
      </c>
      <c r="P94">
        <v>0.64854215900000001</v>
      </c>
      <c r="Q94">
        <v>0.86840031500000003</v>
      </c>
      <c r="R94">
        <v>0.83687943300000001</v>
      </c>
      <c r="S94">
        <v>0.74783293900000003</v>
      </c>
      <c r="T94" s="22">
        <v>0.77777777800000003</v>
      </c>
      <c r="U94" s="20" t="s">
        <v>143</v>
      </c>
      <c r="V94" t="s">
        <v>142</v>
      </c>
      <c r="W94">
        <v>4</v>
      </c>
      <c r="X94" s="22">
        <v>3</v>
      </c>
      <c r="Y94" s="20">
        <v>200700</v>
      </c>
      <c r="Z94">
        <v>21600</v>
      </c>
      <c r="AA94">
        <v>302400</v>
      </c>
      <c r="AB94" s="22">
        <v>2700</v>
      </c>
      <c r="AC94" s="20">
        <v>0.80566801619433204</v>
      </c>
      <c r="AD94" s="22">
        <v>0.98230088495575218</v>
      </c>
      <c r="AE94">
        <v>0.15941223193010326</v>
      </c>
      <c r="AF94">
        <v>1.7156473391580621E-2</v>
      </c>
      <c r="AG94">
        <v>0.17656870532168389</v>
      </c>
      <c r="AH94">
        <v>0.24019062748212866</v>
      </c>
      <c r="AI94">
        <v>2.1445591739475776E-3</v>
      </c>
      <c r="AJ94">
        <v>0.24233518665607623</v>
      </c>
      <c r="AM94">
        <f t="shared" si="1"/>
        <v>31.475000000000001</v>
      </c>
    </row>
    <row r="95" spans="1:39">
      <c r="A95" s="20">
        <v>446</v>
      </c>
      <c r="B95" t="s">
        <v>10</v>
      </c>
      <c r="C95" s="22" t="s">
        <v>45</v>
      </c>
      <c r="D95">
        <v>6605</v>
      </c>
      <c r="E95">
        <v>70</v>
      </c>
      <c r="F95" s="43">
        <v>94.357142857142861</v>
      </c>
      <c r="G95">
        <v>240</v>
      </c>
      <c r="H95" s="43">
        <v>0.29166666666666669</v>
      </c>
      <c r="I95" s="20">
        <v>0.75989445899999997</v>
      </c>
      <c r="J95">
        <v>0.61147757300000005</v>
      </c>
      <c r="K95">
        <v>1</v>
      </c>
      <c r="L95">
        <v>0.97889182100000005</v>
      </c>
      <c r="M95">
        <v>1.01121372</v>
      </c>
      <c r="N95">
        <v>0.67348284999999997</v>
      </c>
      <c r="O95">
        <v>0.75989445899999997</v>
      </c>
      <c r="P95">
        <v>0.59762532999999995</v>
      </c>
      <c r="Q95">
        <v>0.48350923499999998</v>
      </c>
      <c r="R95">
        <v>0.54947229600000003</v>
      </c>
      <c r="S95">
        <v>0.58113456500000005</v>
      </c>
      <c r="T95" s="22">
        <v>0.61147757300000005</v>
      </c>
      <c r="U95" s="20" t="s">
        <v>142</v>
      </c>
      <c r="V95" t="s">
        <v>142</v>
      </c>
      <c r="W95">
        <v>2</v>
      </c>
      <c r="X95" s="22">
        <v>2</v>
      </c>
      <c r="Y95" s="20">
        <v>90900</v>
      </c>
      <c r="Z95">
        <v>1800</v>
      </c>
      <c r="AA95">
        <v>286200</v>
      </c>
      <c r="AB95" s="22">
        <v>0</v>
      </c>
      <c r="AC95" s="20">
        <v>0.96116504854368934</v>
      </c>
      <c r="AD95" s="22">
        <v>1</v>
      </c>
      <c r="AE95">
        <v>5.7342922028766084E-2</v>
      </c>
      <c r="AF95">
        <v>1.1355034065102195E-3</v>
      </c>
      <c r="AG95">
        <v>5.8478425435276302E-2</v>
      </c>
      <c r="AH95">
        <v>0.18054504163512491</v>
      </c>
      <c r="AI95">
        <v>0</v>
      </c>
      <c r="AJ95">
        <v>0.18054504163512491</v>
      </c>
      <c r="AM95">
        <f t="shared" si="1"/>
        <v>33.024999999999999</v>
      </c>
    </row>
    <row r="96" spans="1:39">
      <c r="A96" s="20">
        <v>447</v>
      </c>
      <c r="B96" t="s">
        <v>10</v>
      </c>
      <c r="C96" s="22" t="s">
        <v>45</v>
      </c>
      <c r="D96">
        <v>4140</v>
      </c>
      <c r="E96">
        <v>60</v>
      </c>
      <c r="F96" s="43">
        <v>69</v>
      </c>
      <c r="G96">
        <v>260</v>
      </c>
      <c r="H96" s="43">
        <v>0.23076923076923078</v>
      </c>
      <c r="I96" s="20">
        <v>0.64889335999999997</v>
      </c>
      <c r="J96">
        <v>0.54828973800000003</v>
      </c>
      <c r="K96">
        <v>1</v>
      </c>
      <c r="L96">
        <v>0.92152917499999998</v>
      </c>
      <c r="M96">
        <v>0.80885311900000001</v>
      </c>
      <c r="N96">
        <v>0.90040241399999998</v>
      </c>
      <c r="O96">
        <v>0.64889335999999997</v>
      </c>
      <c r="P96">
        <v>0.68812877299999997</v>
      </c>
      <c r="Q96">
        <v>0.62374245500000003</v>
      </c>
      <c r="R96">
        <v>0.5</v>
      </c>
      <c r="S96">
        <v>0.50100603600000004</v>
      </c>
      <c r="T96" s="22">
        <v>0.54828973800000003</v>
      </c>
      <c r="U96" s="20" t="s">
        <v>143</v>
      </c>
      <c r="V96" t="s">
        <v>143</v>
      </c>
      <c r="W96">
        <v>3</v>
      </c>
      <c r="X96" s="22">
        <v>3</v>
      </c>
      <c r="Y96" s="20">
        <v>80100</v>
      </c>
      <c r="Z96">
        <v>165600</v>
      </c>
      <c r="AA96">
        <v>133200</v>
      </c>
      <c r="AB96" s="22">
        <v>139500</v>
      </c>
      <c r="AC96" s="20">
        <v>-0.34798534798534797</v>
      </c>
      <c r="AD96" s="22">
        <v>-2.3102310231023101E-2</v>
      </c>
      <c r="AE96">
        <v>7.4414715719063551E-2</v>
      </c>
      <c r="AF96">
        <v>0.15384615384615385</v>
      </c>
      <c r="AG96">
        <v>0.22826086956521741</v>
      </c>
      <c r="AH96">
        <v>0.12374581939799331</v>
      </c>
      <c r="AI96">
        <v>0.12959866220735786</v>
      </c>
      <c r="AJ96">
        <v>0.25334448160535117</v>
      </c>
      <c r="AM96">
        <f t="shared" si="1"/>
        <v>20.7</v>
      </c>
    </row>
    <row r="97" spans="1:39">
      <c r="A97" s="20">
        <v>448</v>
      </c>
      <c r="B97" t="s">
        <v>10</v>
      </c>
      <c r="C97" s="22" t="s">
        <v>45</v>
      </c>
      <c r="D97">
        <v>6350</v>
      </c>
      <c r="E97">
        <v>45</v>
      </c>
      <c r="F97" s="43">
        <v>141.11111111111111</v>
      </c>
      <c r="G97">
        <v>220</v>
      </c>
      <c r="H97" s="43">
        <v>0.20454545454545456</v>
      </c>
      <c r="I97" s="20">
        <v>0.79422128299999994</v>
      </c>
      <c r="J97">
        <v>0.87103594100000004</v>
      </c>
      <c r="K97">
        <v>1</v>
      </c>
      <c r="L97">
        <v>1.0070472159999999</v>
      </c>
      <c r="M97">
        <v>0.66807611</v>
      </c>
      <c r="N97">
        <v>0.88653981699999995</v>
      </c>
      <c r="O97">
        <v>0.79422128299999994</v>
      </c>
      <c r="P97">
        <v>0.87103594100000004</v>
      </c>
      <c r="Q97">
        <v>0.88372092999999996</v>
      </c>
      <c r="R97">
        <v>0.86469344599999998</v>
      </c>
      <c r="S97">
        <v>0.825229035</v>
      </c>
      <c r="T97" s="22">
        <v>0.87103594100000004</v>
      </c>
      <c r="U97" s="20" t="s">
        <v>142</v>
      </c>
      <c r="V97" t="s">
        <v>142</v>
      </c>
      <c r="W97">
        <v>1</v>
      </c>
      <c r="X97" s="22">
        <v>3</v>
      </c>
      <c r="Y97" s="20">
        <v>82800</v>
      </c>
      <c r="Z97">
        <v>900</v>
      </c>
      <c r="AA97">
        <v>45000</v>
      </c>
      <c r="AB97" s="22">
        <v>0</v>
      </c>
      <c r="AC97" s="20">
        <v>0.978494623655914</v>
      </c>
      <c r="AD97" s="22">
        <v>1</v>
      </c>
      <c r="AE97">
        <v>5.926986399427344E-2</v>
      </c>
      <c r="AF97">
        <v>6.4423765211166781E-4</v>
      </c>
      <c r="AG97">
        <v>5.9914101646385109E-2</v>
      </c>
      <c r="AH97">
        <v>3.2211882605583393E-2</v>
      </c>
      <c r="AI97">
        <v>0</v>
      </c>
      <c r="AJ97">
        <v>3.2211882605583393E-2</v>
      </c>
      <c r="AM97">
        <f t="shared" si="1"/>
        <v>31.75</v>
      </c>
    </row>
    <row r="98" spans="1:39">
      <c r="A98" s="20">
        <v>451</v>
      </c>
      <c r="B98" t="s">
        <v>10</v>
      </c>
      <c r="C98" s="22" t="s">
        <v>45</v>
      </c>
      <c r="D98">
        <v>5320</v>
      </c>
      <c r="E98">
        <v>35</v>
      </c>
      <c r="F98" s="43">
        <v>152</v>
      </c>
      <c r="G98">
        <v>240</v>
      </c>
      <c r="H98" s="43">
        <v>0.14583333333333334</v>
      </c>
      <c r="I98" s="20">
        <v>0.71908396900000005</v>
      </c>
      <c r="K98">
        <v>1</v>
      </c>
      <c r="L98">
        <v>1.013740458</v>
      </c>
      <c r="M98">
        <v>1.020610687</v>
      </c>
      <c r="N98">
        <v>0.62366412199999999</v>
      </c>
      <c r="O98">
        <v>0.71908396900000005</v>
      </c>
      <c r="P98">
        <v>0.93435114500000005</v>
      </c>
      <c r="Q98">
        <v>0.89694656500000003</v>
      </c>
      <c r="T98" s="22"/>
      <c r="U98" s="20" t="s">
        <v>146</v>
      </c>
      <c r="V98" t="s">
        <v>142</v>
      </c>
      <c r="W98">
        <v>2</v>
      </c>
      <c r="X98" s="22">
        <v>2</v>
      </c>
      <c r="Y98" s="20">
        <v>221400</v>
      </c>
      <c r="Z98">
        <v>55800</v>
      </c>
      <c r="AA98">
        <v>234900</v>
      </c>
      <c r="AB98" s="22">
        <v>9900</v>
      </c>
      <c r="AC98" s="20">
        <v>0.59740259740259738</v>
      </c>
      <c r="AD98" s="22">
        <v>0.91911764705882348</v>
      </c>
      <c r="AE98">
        <v>0.17340225563909775</v>
      </c>
      <c r="AF98">
        <v>4.3703007518796994E-2</v>
      </c>
      <c r="AG98">
        <v>0.21710526315789475</v>
      </c>
      <c r="AH98">
        <v>0.18397556390977443</v>
      </c>
      <c r="AI98">
        <v>7.7537593984962402E-3</v>
      </c>
      <c r="AJ98">
        <v>0.19172932330827067</v>
      </c>
      <c r="AM98">
        <f t="shared" si="1"/>
        <v>26.6</v>
      </c>
    </row>
    <row r="99" spans="1:39">
      <c r="A99" s="20">
        <v>457</v>
      </c>
      <c r="B99" t="s">
        <v>10</v>
      </c>
      <c r="C99" s="22" t="s">
        <v>45</v>
      </c>
      <c r="D99">
        <v>4195</v>
      </c>
      <c r="E99">
        <v>40</v>
      </c>
      <c r="F99" s="43">
        <v>104.875</v>
      </c>
      <c r="G99">
        <v>240</v>
      </c>
      <c r="H99" s="43">
        <v>0.16666666666666666</v>
      </c>
      <c r="I99" s="20">
        <v>0.79233226800000001</v>
      </c>
      <c r="J99">
        <v>0.62300319500000001</v>
      </c>
      <c r="K99">
        <v>1</v>
      </c>
      <c r="L99">
        <v>0.80617678400000004</v>
      </c>
      <c r="M99">
        <v>0.74547390800000002</v>
      </c>
      <c r="N99">
        <v>0.86687965899999997</v>
      </c>
      <c r="O99">
        <v>0.79233226800000001</v>
      </c>
      <c r="P99">
        <v>0.79339723100000004</v>
      </c>
      <c r="Q99">
        <v>0.70394036199999999</v>
      </c>
      <c r="R99">
        <v>0.65282215099999996</v>
      </c>
      <c r="S99">
        <v>0.64217252400000002</v>
      </c>
      <c r="T99" s="22">
        <v>0.62300319500000001</v>
      </c>
      <c r="U99" s="20" t="s">
        <v>143</v>
      </c>
      <c r="V99" t="s">
        <v>142</v>
      </c>
      <c r="W99">
        <v>3</v>
      </c>
      <c r="X99" s="22">
        <v>1</v>
      </c>
      <c r="Y99" s="20">
        <v>0</v>
      </c>
      <c r="Z99">
        <v>50400</v>
      </c>
      <c r="AA99">
        <v>182700</v>
      </c>
      <c r="AB99" s="22">
        <v>0</v>
      </c>
      <c r="AC99" s="20">
        <v>-1</v>
      </c>
      <c r="AD99" s="22">
        <v>1</v>
      </c>
      <c r="AE99">
        <v>0</v>
      </c>
      <c r="AF99">
        <v>5.0059594755661505E-2</v>
      </c>
      <c r="AG99">
        <v>5.0059594755661505E-2</v>
      </c>
      <c r="AH99">
        <v>0.18146603098927294</v>
      </c>
      <c r="AI99">
        <v>0</v>
      </c>
      <c r="AJ99">
        <v>0.18146603098927294</v>
      </c>
      <c r="AM99">
        <f t="shared" si="1"/>
        <v>20.975000000000001</v>
      </c>
    </row>
    <row r="100" spans="1:39">
      <c r="A100" s="20">
        <v>465</v>
      </c>
      <c r="B100" t="s">
        <v>10</v>
      </c>
      <c r="C100" s="22" t="s">
        <v>46</v>
      </c>
      <c r="D100">
        <v>5580</v>
      </c>
      <c r="E100">
        <v>65</v>
      </c>
      <c r="F100" s="43">
        <v>85.84615384615384</v>
      </c>
      <c r="G100">
        <v>460</v>
      </c>
      <c r="H100" s="43">
        <v>0.14130434782608695</v>
      </c>
      <c r="I100" s="20">
        <v>0.94446781700000004</v>
      </c>
      <c r="J100">
        <v>0.93984013499999997</v>
      </c>
      <c r="K100">
        <v>1</v>
      </c>
      <c r="L100">
        <v>0.931846866</v>
      </c>
      <c r="M100">
        <v>0.87505258699999999</v>
      </c>
      <c r="N100">
        <v>0.81026503999999999</v>
      </c>
      <c r="O100">
        <v>0.94446781700000004</v>
      </c>
      <c r="P100">
        <v>0.84139671900000002</v>
      </c>
      <c r="Q100">
        <v>0.86453512799999999</v>
      </c>
      <c r="R100">
        <v>0.90323937700000001</v>
      </c>
      <c r="S100">
        <v>0.87925957099999996</v>
      </c>
      <c r="T100" s="22">
        <v>0.93984013499999997</v>
      </c>
      <c r="U100" s="20" t="s">
        <v>142</v>
      </c>
      <c r="V100" t="s">
        <v>142</v>
      </c>
      <c r="W100">
        <v>5</v>
      </c>
      <c r="X100" s="22">
        <v>5</v>
      </c>
      <c r="Y100" s="20">
        <v>270000</v>
      </c>
      <c r="Z100">
        <v>0</v>
      </c>
      <c r="AA100">
        <v>242100</v>
      </c>
      <c r="AB100" s="22">
        <v>0</v>
      </c>
      <c r="AC100" s="20">
        <v>1</v>
      </c>
      <c r="AD100" s="22">
        <v>1</v>
      </c>
      <c r="AE100">
        <v>0.10518934081346423</v>
      </c>
      <c r="AF100">
        <v>0</v>
      </c>
      <c r="AG100">
        <v>0.10518934081346423</v>
      </c>
      <c r="AH100">
        <v>9.4319775596072936E-2</v>
      </c>
      <c r="AI100">
        <v>0</v>
      </c>
      <c r="AJ100">
        <v>9.4319775596072936E-2</v>
      </c>
      <c r="AM100">
        <f t="shared" si="1"/>
        <v>27.9</v>
      </c>
    </row>
    <row r="101" spans="1:39">
      <c r="A101" s="20">
        <v>468</v>
      </c>
      <c r="B101" t="s">
        <v>10</v>
      </c>
      <c r="C101" s="22" t="s">
        <v>46</v>
      </c>
      <c r="D101">
        <v>5365</v>
      </c>
      <c r="E101">
        <v>65</v>
      </c>
      <c r="F101" s="43">
        <v>82.538461538461533</v>
      </c>
      <c r="G101">
        <v>360</v>
      </c>
      <c r="H101" s="43">
        <v>0.18055555555555555</v>
      </c>
      <c r="I101" s="20">
        <v>0.75899672799999995</v>
      </c>
      <c r="J101">
        <v>0.69193020699999996</v>
      </c>
      <c r="K101">
        <v>1</v>
      </c>
      <c r="L101">
        <v>0.89476553999999997</v>
      </c>
      <c r="M101">
        <v>0.84732824399999995</v>
      </c>
      <c r="N101">
        <v>0.86804798299999997</v>
      </c>
      <c r="O101">
        <v>0.75899672799999995</v>
      </c>
      <c r="P101">
        <v>0.80043620500000001</v>
      </c>
      <c r="Q101">
        <v>0.65703380600000005</v>
      </c>
      <c r="R101">
        <v>0.65757906200000005</v>
      </c>
      <c r="S101">
        <v>0.67011995599999996</v>
      </c>
      <c r="T101" s="22">
        <v>0.69193020699999996</v>
      </c>
      <c r="U101" s="20" t="s">
        <v>143</v>
      </c>
      <c r="V101" t="s">
        <v>142</v>
      </c>
      <c r="W101">
        <v>4</v>
      </c>
      <c r="X101" s="22">
        <v>2</v>
      </c>
      <c r="Y101" s="20">
        <v>135000</v>
      </c>
      <c r="Z101">
        <v>131400</v>
      </c>
      <c r="AA101">
        <v>281700</v>
      </c>
      <c r="AB101" s="22">
        <v>0</v>
      </c>
      <c r="AC101" s="20">
        <v>1.3513513513513514E-2</v>
      </c>
      <c r="AD101" s="22">
        <v>1</v>
      </c>
      <c r="AE101">
        <v>6.9897483690587139E-2</v>
      </c>
      <c r="AF101">
        <v>6.8033550792171479E-2</v>
      </c>
      <c r="AG101">
        <v>0.13793103448275862</v>
      </c>
      <c r="AH101">
        <v>0.14585274930102515</v>
      </c>
      <c r="AI101">
        <v>0</v>
      </c>
      <c r="AJ101">
        <v>0.14585274930102515</v>
      </c>
      <c r="AM101">
        <f t="shared" si="1"/>
        <v>26.824999999999999</v>
      </c>
    </row>
    <row r="102" spans="1:39">
      <c r="A102" s="20">
        <v>470</v>
      </c>
      <c r="B102" t="s">
        <v>10</v>
      </c>
      <c r="C102" s="22" t="s">
        <v>46</v>
      </c>
      <c r="D102">
        <v>8270</v>
      </c>
      <c r="E102">
        <v>1240</v>
      </c>
      <c r="F102" s="43">
        <v>6.669354838709677</v>
      </c>
      <c r="G102">
        <v>360</v>
      </c>
      <c r="H102" s="43">
        <v>3.4444444444444446</v>
      </c>
      <c r="I102" s="20">
        <v>0.39978331499999997</v>
      </c>
      <c r="K102">
        <v>1</v>
      </c>
      <c r="L102">
        <v>0.82665222100000002</v>
      </c>
      <c r="M102">
        <v>0.54712892700000004</v>
      </c>
      <c r="N102">
        <v>0.46722643600000002</v>
      </c>
      <c r="O102">
        <v>0.39978331499999997</v>
      </c>
      <c r="T102" s="22"/>
      <c r="U102" s="20" t="s">
        <v>142</v>
      </c>
      <c r="V102" t="s">
        <v>142</v>
      </c>
      <c r="W102">
        <v>1</v>
      </c>
      <c r="X102" s="22">
        <v>2</v>
      </c>
      <c r="Y102" s="20">
        <v>780300</v>
      </c>
      <c r="Z102">
        <v>67500</v>
      </c>
      <c r="AA102">
        <v>304200</v>
      </c>
      <c r="AB102" s="22">
        <v>0</v>
      </c>
      <c r="AC102" s="20">
        <v>0.84076433121019112</v>
      </c>
      <c r="AD102" s="22">
        <v>1</v>
      </c>
      <c r="AE102">
        <v>0.26209189842805319</v>
      </c>
      <c r="AF102">
        <v>2.2672309552599759E-2</v>
      </c>
      <c r="AG102">
        <v>0.28476420798065294</v>
      </c>
      <c r="AH102">
        <v>0.10217654171704958</v>
      </c>
      <c r="AI102">
        <v>0</v>
      </c>
      <c r="AJ102">
        <v>0.10217654171704958</v>
      </c>
      <c r="AM102">
        <f t="shared" si="1"/>
        <v>41.35</v>
      </c>
    </row>
    <row r="103" spans="1:39">
      <c r="A103" s="20">
        <v>471</v>
      </c>
      <c r="B103" t="s">
        <v>10</v>
      </c>
      <c r="C103" s="22" t="s">
        <v>46</v>
      </c>
      <c r="D103">
        <v>3960</v>
      </c>
      <c r="E103">
        <v>115</v>
      </c>
      <c r="F103" s="43">
        <v>34.434782608695649</v>
      </c>
      <c r="G103">
        <v>360</v>
      </c>
      <c r="H103" s="43">
        <v>0.31944444444444442</v>
      </c>
      <c r="I103" s="20">
        <v>0.39828080199999999</v>
      </c>
      <c r="K103">
        <v>1</v>
      </c>
      <c r="L103">
        <v>0.92664756400000003</v>
      </c>
      <c r="M103">
        <v>0.67392550100000004</v>
      </c>
      <c r="N103">
        <v>0.49226361000000002</v>
      </c>
      <c r="O103">
        <v>0.39828080199999999</v>
      </c>
      <c r="P103">
        <v>0.394269341</v>
      </c>
      <c r="Q103">
        <v>0.38452722099999997</v>
      </c>
      <c r="T103" s="22"/>
      <c r="U103" s="20" t="s">
        <v>143</v>
      </c>
      <c r="V103" t="s">
        <v>142</v>
      </c>
      <c r="W103">
        <v>3</v>
      </c>
      <c r="X103" s="22">
        <v>2</v>
      </c>
      <c r="Y103" s="20">
        <v>449100</v>
      </c>
      <c r="Z103">
        <v>370800</v>
      </c>
      <c r="AA103">
        <v>268200</v>
      </c>
      <c r="AB103" s="22">
        <v>36900</v>
      </c>
      <c r="AC103" s="20">
        <v>9.5499451152579587E-2</v>
      </c>
      <c r="AD103" s="22">
        <v>0.75811209439528027</v>
      </c>
      <c r="AE103">
        <v>0.31502525252525254</v>
      </c>
      <c r="AF103">
        <v>0.26010101010101011</v>
      </c>
      <c r="AG103">
        <v>0.57512626262626265</v>
      </c>
      <c r="AH103">
        <v>0.18813131313131312</v>
      </c>
      <c r="AI103">
        <v>2.5883838383838384E-2</v>
      </c>
      <c r="AJ103">
        <v>0.21401515151515149</v>
      </c>
      <c r="AM103">
        <f t="shared" si="1"/>
        <v>19.8</v>
      </c>
    </row>
    <row r="104" spans="1:39">
      <c r="A104" s="20">
        <v>478</v>
      </c>
      <c r="B104" t="s">
        <v>10</v>
      </c>
      <c r="C104" s="22" t="s">
        <v>46</v>
      </c>
      <c r="D104">
        <v>8535</v>
      </c>
      <c r="E104">
        <v>95</v>
      </c>
      <c r="F104" s="43">
        <v>89.84210526315789</v>
      </c>
      <c r="G104">
        <v>340</v>
      </c>
      <c r="H104" s="43">
        <v>0.27941176470588236</v>
      </c>
      <c r="I104" s="20">
        <v>0.61866889899999999</v>
      </c>
      <c r="J104">
        <v>0.63415655100000001</v>
      </c>
      <c r="K104">
        <v>1</v>
      </c>
      <c r="L104">
        <v>0.80577647600000002</v>
      </c>
      <c r="M104">
        <v>0.82251988300000001</v>
      </c>
      <c r="N104">
        <v>0.74257011299999998</v>
      </c>
      <c r="O104">
        <v>0.61866889899999999</v>
      </c>
      <c r="P104">
        <v>0.77354541600000004</v>
      </c>
      <c r="Q104">
        <v>0.72415236500000002</v>
      </c>
      <c r="R104">
        <v>0.71159481000000002</v>
      </c>
      <c r="S104">
        <v>0.63206362500000002</v>
      </c>
      <c r="T104" s="22">
        <v>0.63415655100000001</v>
      </c>
      <c r="U104" s="20" t="s">
        <v>143</v>
      </c>
      <c r="V104" t="s">
        <v>142</v>
      </c>
      <c r="W104">
        <v>4</v>
      </c>
      <c r="X104" s="22">
        <v>2</v>
      </c>
      <c r="Y104" s="20">
        <v>575100</v>
      </c>
      <c r="Z104">
        <v>102600</v>
      </c>
      <c r="AA104">
        <v>267300</v>
      </c>
      <c r="AB104" s="22">
        <v>0</v>
      </c>
      <c r="AC104" s="20">
        <v>0.6972111553784861</v>
      </c>
      <c r="AD104" s="22">
        <v>1</v>
      </c>
      <c r="AE104">
        <v>0.19818050242944277</v>
      </c>
      <c r="AF104">
        <v>3.535614597332782E-2</v>
      </c>
      <c r="AG104">
        <v>0.23353664840277058</v>
      </c>
      <c r="AH104">
        <v>9.2112064509459315E-2</v>
      </c>
      <c r="AI104">
        <v>0</v>
      </c>
      <c r="AJ104">
        <v>9.2112064509459315E-2</v>
      </c>
      <c r="AM104">
        <f t="shared" si="1"/>
        <v>42.674999999999997</v>
      </c>
    </row>
    <row r="105" spans="1:39">
      <c r="A105" s="20">
        <v>479</v>
      </c>
      <c r="B105" t="s">
        <v>10</v>
      </c>
      <c r="C105" s="22" t="s">
        <v>46</v>
      </c>
      <c r="D105">
        <v>8120</v>
      </c>
      <c r="E105">
        <v>60</v>
      </c>
      <c r="F105" s="43">
        <v>135.33333333333334</v>
      </c>
      <c r="G105">
        <v>440</v>
      </c>
      <c r="H105" s="43">
        <v>0.13636363636363635</v>
      </c>
      <c r="I105" s="20">
        <v>0.69297267200000001</v>
      </c>
      <c r="K105">
        <v>1</v>
      </c>
      <c r="L105">
        <v>0.87088678200000003</v>
      </c>
      <c r="M105">
        <v>0.75432236500000005</v>
      </c>
      <c r="N105">
        <v>0.68042387100000001</v>
      </c>
      <c r="O105">
        <v>0.69297267200000001</v>
      </c>
      <c r="P105">
        <v>0.710819855</v>
      </c>
      <c r="T105" s="22"/>
      <c r="U105" s="20" t="s">
        <v>143</v>
      </c>
      <c r="V105" t="s">
        <v>142</v>
      </c>
      <c r="W105">
        <v>2</v>
      </c>
      <c r="X105" s="22">
        <v>2</v>
      </c>
      <c r="Y105" s="20">
        <v>222300</v>
      </c>
      <c r="Z105">
        <v>162000</v>
      </c>
      <c r="AA105">
        <v>369000</v>
      </c>
      <c r="AB105" s="22">
        <v>48600</v>
      </c>
      <c r="AC105" s="20">
        <v>0.15690866510538642</v>
      </c>
      <c r="AD105" s="22">
        <v>0.76724137931034486</v>
      </c>
      <c r="AE105">
        <v>6.2220107478728165E-2</v>
      </c>
      <c r="AF105">
        <v>4.5342588446036725E-2</v>
      </c>
      <c r="AG105">
        <v>0.10756269592476489</v>
      </c>
      <c r="AH105">
        <v>0.10328034034930586</v>
      </c>
      <c r="AI105">
        <v>1.3602776533811017E-2</v>
      </c>
      <c r="AJ105">
        <v>0.11688311688311688</v>
      </c>
      <c r="AM105">
        <f t="shared" si="1"/>
        <v>40.6</v>
      </c>
    </row>
    <row r="106" spans="1:39">
      <c r="A106" s="20">
        <v>480</v>
      </c>
      <c r="B106" t="s">
        <v>10</v>
      </c>
      <c r="C106" s="22" t="s">
        <v>46</v>
      </c>
      <c r="D106">
        <v>8625</v>
      </c>
      <c r="E106">
        <v>50</v>
      </c>
      <c r="F106" s="43">
        <v>172.5</v>
      </c>
      <c r="G106">
        <v>540</v>
      </c>
      <c r="H106" s="43">
        <v>9.2592592592592587E-2</v>
      </c>
      <c r="I106" s="20">
        <v>0.84463768100000003</v>
      </c>
      <c r="J106">
        <v>0.80898550700000005</v>
      </c>
      <c r="K106">
        <v>1</v>
      </c>
      <c r="L106">
        <v>0.89101449300000002</v>
      </c>
      <c r="M106">
        <v>0.94086956499999996</v>
      </c>
      <c r="N106">
        <v>0.88463768099999995</v>
      </c>
      <c r="O106">
        <v>0.84463768100000003</v>
      </c>
      <c r="P106">
        <v>0.63304347800000005</v>
      </c>
      <c r="Q106">
        <v>0.79971014500000004</v>
      </c>
      <c r="R106">
        <v>0.79072463800000004</v>
      </c>
      <c r="S106">
        <v>0.84115941999999999</v>
      </c>
      <c r="T106" s="22">
        <v>0.80898550700000005</v>
      </c>
      <c r="U106" s="20" t="s">
        <v>143</v>
      </c>
      <c r="V106" t="s">
        <v>143</v>
      </c>
      <c r="W106">
        <v>5</v>
      </c>
      <c r="X106" s="22">
        <v>2</v>
      </c>
      <c r="Y106" s="20">
        <v>374400</v>
      </c>
      <c r="Z106">
        <v>109800</v>
      </c>
      <c r="AA106">
        <v>369000</v>
      </c>
      <c r="AB106" s="22">
        <v>42300</v>
      </c>
      <c r="AC106" s="20">
        <v>0.54646840148698883</v>
      </c>
      <c r="AD106" s="22">
        <v>0.79431072210065645</v>
      </c>
      <c r="AE106">
        <v>8.0386473429951685E-2</v>
      </c>
      <c r="AF106">
        <v>2.357487922705314E-2</v>
      </c>
      <c r="AG106">
        <v>0.10396135265700482</v>
      </c>
      <c r="AH106">
        <v>7.922705314009662E-2</v>
      </c>
      <c r="AI106">
        <v>9.0821256038647342E-3</v>
      </c>
      <c r="AJ106">
        <v>8.8309178743961353E-2</v>
      </c>
      <c r="AM106">
        <f t="shared" si="1"/>
        <v>43.125</v>
      </c>
    </row>
    <row r="107" spans="1:39">
      <c r="A107" s="20">
        <v>483</v>
      </c>
      <c r="B107" t="s">
        <v>10</v>
      </c>
      <c r="C107" s="22" t="s">
        <v>46</v>
      </c>
      <c r="D107">
        <v>7645</v>
      </c>
      <c r="E107">
        <v>55</v>
      </c>
      <c r="F107" s="43">
        <v>139</v>
      </c>
      <c r="G107">
        <v>360</v>
      </c>
      <c r="H107" s="43">
        <v>0.15277777777777779</v>
      </c>
      <c r="I107" s="20">
        <v>0.66082532500000002</v>
      </c>
      <c r="J107">
        <v>0.87535330700000002</v>
      </c>
      <c r="K107">
        <v>1</v>
      </c>
      <c r="L107">
        <v>0.87054833200000004</v>
      </c>
      <c r="M107">
        <v>0.85669870000000004</v>
      </c>
      <c r="N107">
        <v>0.63086489499999998</v>
      </c>
      <c r="O107">
        <v>0.66082532500000002</v>
      </c>
      <c r="P107">
        <v>0.70689655200000001</v>
      </c>
      <c r="Q107">
        <v>0.86630864900000004</v>
      </c>
      <c r="R107">
        <v>0.89118145800000004</v>
      </c>
      <c r="S107">
        <v>0.88015828200000001</v>
      </c>
      <c r="T107" s="22">
        <v>0.87535330700000002</v>
      </c>
      <c r="U107" s="20" t="s">
        <v>142</v>
      </c>
      <c r="V107" t="s">
        <v>142</v>
      </c>
      <c r="W107">
        <v>3</v>
      </c>
      <c r="X107" s="22">
        <v>1</v>
      </c>
      <c r="Y107" s="20">
        <v>807300</v>
      </c>
      <c r="Z107">
        <v>22500</v>
      </c>
      <c r="AA107">
        <v>237600</v>
      </c>
      <c r="AB107" s="22">
        <v>0</v>
      </c>
      <c r="AC107" s="20">
        <v>0.94577006507592187</v>
      </c>
      <c r="AD107" s="22">
        <v>1</v>
      </c>
      <c r="AE107">
        <v>0.29332897318508827</v>
      </c>
      <c r="AF107">
        <v>8.1752779594506213E-3</v>
      </c>
      <c r="AG107">
        <v>0.30150425114453888</v>
      </c>
      <c r="AH107">
        <v>8.6330935251798566E-2</v>
      </c>
      <c r="AI107">
        <v>0</v>
      </c>
      <c r="AJ107">
        <v>8.6330935251798566E-2</v>
      </c>
      <c r="AM107">
        <f t="shared" si="1"/>
        <v>38.225000000000001</v>
      </c>
    </row>
    <row r="108" spans="1:39">
      <c r="A108" s="20">
        <v>485</v>
      </c>
      <c r="B108" t="s">
        <v>10</v>
      </c>
      <c r="C108" s="22" t="s">
        <v>36</v>
      </c>
      <c r="D108">
        <v>4450</v>
      </c>
      <c r="E108">
        <v>90</v>
      </c>
      <c r="F108" s="43">
        <v>49.444444444444443</v>
      </c>
      <c r="G108">
        <v>360</v>
      </c>
      <c r="H108" s="43">
        <v>0.25</v>
      </c>
      <c r="I108" s="20">
        <v>0.74685062999999996</v>
      </c>
      <c r="K108">
        <v>1</v>
      </c>
      <c r="L108">
        <v>0.96400719899999998</v>
      </c>
      <c r="M108">
        <v>0.77204559100000003</v>
      </c>
      <c r="N108">
        <v>0.74745050999999996</v>
      </c>
      <c r="O108">
        <v>0.74685062999999996</v>
      </c>
      <c r="P108">
        <v>0.63527294499999998</v>
      </c>
      <c r="Q108">
        <v>0.68326334700000002</v>
      </c>
      <c r="R108">
        <v>0.75464907000000003</v>
      </c>
      <c r="S108">
        <v>0.68266346700000002</v>
      </c>
      <c r="T108" s="22"/>
      <c r="U108" s="20" t="s">
        <v>143</v>
      </c>
      <c r="V108" t="s">
        <v>146</v>
      </c>
      <c r="W108">
        <v>5</v>
      </c>
      <c r="X108" s="22">
        <v>2</v>
      </c>
      <c r="Y108" s="20">
        <v>266400</v>
      </c>
      <c r="Z108">
        <v>176400</v>
      </c>
      <c r="AA108">
        <v>76500</v>
      </c>
      <c r="AB108" s="22">
        <v>27900</v>
      </c>
      <c r="AC108" s="20">
        <v>0.2032520325203252</v>
      </c>
      <c r="AD108" s="22">
        <v>0.46551724137931033</v>
      </c>
      <c r="AE108">
        <v>0.16629213483146069</v>
      </c>
      <c r="AF108">
        <v>0.1101123595505618</v>
      </c>
      <c r="AG108">
        <v>0.27640449438202247</v>
      </c>
      <c r="AH108">
        <v>4.7752808988764044E-2</v>
      </c>
      <c r="AI108">
        <v>1.7415730337078651E-2</v>
      </c>
      <c r="AJ108">
        <v>6.5168539325842698E-2</v>
      </c>
      <c r="AM108">
        <f t="shared" si="1"/>
        <v>22.25</v>
      </c>
    </row>
    <row r="109" spans="1:39">
      <c r="A109" s="20">
        <v>487</v>
      </c>
      <c r="B109" t="s">
        <v>10</v>
      </c>
      <c r="C109" s="22" t="s">
        <v>46</v>
      </c>
      <c r="D109">
        <v>6560</v>
      </c>
      <c r="E109">
        <v>40</v>
      </c>
      <c r="F109" s="43">
        <v>164</v>
      </c>
      <c r="G109">
        <v>380</v>
      </c>
      <c r="H109" s="43">
        <v>0.10526315789473684</v>
      </c>
      <c r="I109" s="20">
        <v>0.59672853100000001</v>
      </c>
      <c r="J109">
        <v>0.32903428800000001</v>
      </c>
      <c r="K109">
        <v>1</v>
      </c>
      <c r="L109">
        <v>0.86631016000000005</v>
      </c>
      <c r="M109">
        <v>0.59893048100000001</v>
      </c>
      <c r="N109">
        <v>0.51777288499999996</v>
      </c>
      <c r="O109">
        <v>0.59672853100000001</v>
      </c>
      <c r="P109">
        <v>0.37967914400000002</v>
      </c>
      <c r="Q109">
        <v>0.38785781699999999</v>
      </c>
      <c r="R109">
        <v>0.316451714</v>
      </c>
      <c r="S109">
        <v>0.41585404199999998</v>
      </c>
      <c r="T109" s="22">
        <v>0.32903428800000001</v>
      </c>
      <c r="U109" s="20" t="s">
        <v>143</v>
      </c>
      <c r="V109" t="s">
        <v>143</v>
      </c>
      <c r="W109">
        <v>3</v>
      </c>
      <c r="X109" s="22">
        <v>2</v>
      </c>
      <c r="Y109" s="20">
        <v>674100</v>
      </c>
      <c r="Z109">
        <v>711000</v>
      </c>
      <c r="AA109">
        <v>369900</v>
      </c>
      <c r="AB109" s="22">
        <v>316800</v>
      </c>
      <c r="AC109" s="20">
        <v>-2.664067576348278E-2</v>
      </c>
      <c r="AD109" s="22">
        <v>7.7326343381389259E-2</v>
      </c>
      <c r="AE109">
        <v>0.27041880616174585</v>
      </c>
      <c r="AF109">
        <v>0.2852214377406932</v>
      </c>
      <c r="AG109">
        <v>0.55564024390243905</v>
      </c>
      <c r="AH109">
        <v>0.14838735558408217</v>
      </c>
      <c r="AI109">
        <v>0.12708600770218229</v>
      </c>
      <c r="AJ109">
        <v>0.27547336328626448</v>
      </c>
      <c r="AM109">
        <f t="shared" si="1"/>
        <v>32.799999999999997</v>
      </c>
    </row>
    <row r="110" spans="1:39">
      <c r="A110" s="20">
        <v>490</v>
      </c>
      <c r="B110" t="s">
        <v>10</v>
      </c>
      <c r="C110" s="22" t="s">
        <v>46</v>
      </c>
      <c r="D110">
        <v>9990</v>
      </c>
      <c r="E110">
        <v>90</v>
      </c>
      <c r="F110" s="43">
        <v>111</v>
      </c>
      <c r="G110">
        <v>420</v>
      </c>
      <c r="H110" s="43">
        <v>0.21428571428571427</v>
      </c>
      <c r="I110" s="20">
        <v>0.70397441800000005</v>
      </c>
      <c r="K110">
        <v>1</v>
      </c>
      <c r="L110">
        <v>0.93398812200000003</v>
      </c>
      <c r="M110">
        <v>0.73001370499999996</v>
      </c>
      <c r="N110">
        <v>0.76793056199999998</v>
      </c>
      <c r="O110">
        <v>0.70397441800000005</v>
      </c>
      <c r="P110">
        <v>0.67313841900000004</v>
      </c>
      <c r="Q110">
        <v>0.57651895799999997</v>
      </c>
      <c r="R110">
        <v>0.54339881199999995</v>
      </c>
      <c r="S110">
        <v>0.55573321200000003</v>
      </c>
      <c r="T110" s="22"/>
      <c r="U110" s="20" t="s">
        <v>143</v>
      </c>
      <c r="V110" t="s">
        <v>142</v>
      </c>
      <c r="W110">
        <v>3</v>
      </c>
      <c r="X110" s="22">
        <v>2</v>
      </c>
      <c r="Y110" s="20">
        <v>682200</v>
      </c>
      <c r="Z110">
        <v>242100</v>
      </c>
      <c r="AA110">
        <v>423900</v>
      </c>
      <c r="AB110" s="22">
        <v>21600</v>
      </c>
      <c r="AC110" s="20">
        <v>0.47614410905550147</v>
      </c>
      <c r="AD110" s="22">
        <v>0.90303030303030307</v>
      </c>
      <c r="AE110">
        <v>0.1625911625911626</v>
      </c>
      <c r="AF110">
        <v>5.7700557700557702E-2</v>
      </c>
      <c r="AG110">
        <v>0.22029172029172031</v>
      </c>
      <c r="AH110">
        <v>0.10102960102960103</v>
      </c>
      <c r="AI110">
        <v>5.1480051480051478E-3</v>
      </c>
      <c r="AJ110">
        <v>0.10617760617760617</v>
      </c>
      <c r="AM110">
        <f t="shared" si="1"/>
        <v>49.95</v>
      </c>
    </row>
    <row r="111" spans="1:39">
      <c r="A111" s="20">
        <v>491</v>
      </c>
      <c r="B111" t="s">
        <v>10</v>
      </c>
      <c r="C111" s="22" t="s">
        <v>47</v>
      </c>
      <c r="D111">
        <v>15900</v>
      </c>
      <c r="E111">
        <v>85</v>
      </c>
      <c r="F111" s="43">
        <v>187.05882352941177</v>
      </c>
      <c r="G111">
        <v>320</v>
      </c>
      <c r="H111" s="43">
        <v>0.265625</v>
      </c>
      <c r="I111" s="20">
        <v>0.88100646500000002</v>
      </c>
      <c r="J111">
        <v>0.81408352299999998</v>
      </c>
      <c r="K111">
        <v>1</v>
      </c>
      <c r="L111">
        <v>1.002446269</v>
      </c>
      <c r="M111">
        <v>1.0096103439999999</v>
      </c>
      <c r="N111">
        <v>0.74104490700000003</v>
      </c>
      <c r="O111">
        <v>0.88100646500000002</v>
      </c>
      <c r="P111">
        <v>0.87314345599999998</v>
      </c>
      <c r="Q111">
        <v>0.61453782999999995</v>
      </c>
      <c r="R111">
        <v>0.75292678700000004</v>
      </c>
      <c r="S111">
        <v>0.83609994799999998</v>
      </c>
      <c r="T111" s="22">
        <v>0.81408352299999998</v>
      </c>
      <c r="U111" s="20" t="s">
        <v>143</v>
      </c>
      <c r="V111" t="s">
        <v>143</v>
      </c>
      <c r="W111">
        <v>5</v>
      </c>
      <c r="X111" s="22">
        <v>3</v>
      </c>
      <c r="Y111" s="20">
        <v>536400</v>
      </c>
      <c r="Z111">
        <v>251100</v>
      </c>
      <c r="AA111">
        <v>403200</v>
      </c>
      <c r="AB111" s="22">
        <v>213300</v>
      </c>
      <c r="AC111" s="20">
        <v>0.36228571428571427</v>
      </c>
      <c r="AD111" s="22">
        <v>0.30802919708029197</v>
      </c>
      <c r="AE111">
        <v>0.1054245283018868</v>
      </c>
      <c r="AF111">
        <v>4.9351415094339622E-2</v>
      </c>
      <c r="AG111">
        <v>0.15477594339622641</v>
      </c>
      <c r="AH111">
        <v>7.9245283018867921E-2</v>
      </c>
      <c r="AI111">
        <v>4.1922169811320756E-2</v>
      </c>
      <c r="AJ111">
        <v>0.12116745283018868</v>
      </c>
      <c r="AM111">
        <f t="shared" si="1"/>
        <v>79.5</v>
      </c>
    </row>
    <row r="112" spans="1:39">
      <c r="A112" s="20">
        <v>493</v>
      </c>
      <c r="B112" t="s">
        <v>10</v>
      </c>
      <c r="C112" s="22" t="s">
        <v>47</v>
      </c>
      <c r="D112">
        <v>2500</v>
      </c>
      <c r="E112">
        <v>195</v>
      </c>
      <c r="F112" s="43">
        <v>12.820512820512821</v>
      </c>
      <c r="G112">
        <v>220</v>
      </c>
      <c r="H112" s="43">
        <v>0.88636363636363635</v>
      </c>
      <c r="I112" s="20">
        <v>0.37350506</v>
      </c>
      <c r="J112">
        <v>0.26126954899999999</v>
      </c>
      <c r="K112">
        <v>1</v>
      </c>
      <c r="L112">
        <v>0.84176632900000004</v>
      </c>
      <c r="M112">
        <v>0.578656854</v>
      </c>
      <c r="N112">
        <v>0.452621895</v>
      </c>
      <c r="O112">
        <v>0.37350506</v>
      </c>
      <c r="P112">
        <v>0.33394664200000002</v>
      </c>
      <c r="Q112">
        <v>0.23919043200000001</v>
      </c>
      <c r="R112">
        <v>0.44250230000000002</v>
      </c>
      <c r="S112">
        <v>0.32934682599999998</v>
      </c>
      <c r="T112" s="22">
        <v>0.26126954899999999</v>
      </c>
      <c r="U112" s="20" t="s">
        <v>143</v>
      </c>
      <c r="V112" t="s">
        <v>143</v>
      </c>
      <c r="W112">
        <v>2</v>
      </c>
      <c r="X112" s="22">
        <v>1</v>
      </c>
      <c r="Y112" s="20">
        <v>249300</v>
      </c>
      <c r="Z112">
        <v>169200</v>
      </c>
      <c r="AA112">
        <v>205200</v>
      </c>
      <c r="AB112" s="22">
        <v>51300</v>
      </c>
      <c r="AC112" s="20">
        <v>0.1913978494623656</v>
      </c>
      <c r="AD112" s="22">
        <v>0.6</v>
      </c>
      <c r="AE112">
        <v>0.45327272727272727</v>
      </c>
      <c r="AF112">
        <v>0.30763636363636365</v>
      </c>
      <c r="AG112">
        <v>0.76090909090909098</v>
      </c>
      <c r="AH112">
        <v>0.37309090909090908</v>
      </c>
      <c r="AI112">
        <v>9.3272727272727271E-2</v>
      </c>
      <c r="AJ112">
        <v>0.46636363636363637</v>
      </c>
      <c r="AM112">
        <f t="shared" si="1"/>
        <v>12.5</v>
      </c>
    </row>
    <row r="113" spans="1:39">
      <c r="A113" s="20">
        <v>494</v>
      </c>
      <c r="B113" t="s">
        <v>10</v>
      </c>
      <c r="C113" s="22" t="s">
        <v>47</v>
      </c>
      <c r="D113">
        <v>6660</v>
      </c>
      <c r="E113">
        <v>90</v>
      </c>
      <c r="F113" s="43">
        <v>74</v>
      </c>
      <c r="G113">
        <v>300</v>
      </c>
      <c r="H113" s="43">
        <v>0.3</v>
      </c>
      <c r="I113" s="20">
        <v>0.85748106099999999</v>
      </c>
      <c r="J113">
        <v>0.87642045499999999</v>
      </c>
      <c r="K113">
        <v>1</v>
      </c>
      <c r="L113">
        <v>0.78645833300000001</v>
      </c>
      <c r="M113">
        <v>0.781723485</v>
      </c>
      <c r="N113">
        <v>0.91098484800000001</v>
      </c>
      <c r="O113">
        <v>0.85748106099999999</v>
      </c>
      <c r="P113">
        <v>0.653409091</v>
      </c>
      <c r="Q113">
        <v>0.759469697</v>
      </c>
      <c r="R113">
        <v>0.84185606099999999</v>
      </c>
      <c r="S113">
        <v>0.67660984800000001</v>
      </c>
      <c r="T113" s="22">
        <v>0.87642045499999999</v>
      </c>
      <c r="U113" s="20" t="s">
        <v>143</v>
      </c>
      <c r="V113" t="s">
        <v>142</v>
      </c>
      <c r="W113">
        <v>6</v>
      </c>
      <c r="X113" s="22">
        <v>2</v>
      </c>
      <c r="Y113" s="20">
        <v>235800</v>
      </c>
      <c r="Z113">
        <v>174600</v>
      </c>
      <c r="AA113">
        <v>428400</v>
      </c>
      <c r="AB113" s="22">
        <v>900</v>
      </c>
      <c r="AC113" s="20">
        <v>0.14912280701754385</v>
      </c>
      <c r="AD113" s="22">
        <v>0.99580712788259962</v>
      </c>
      <c r="AE113">
        <v>0.11801801801801802</v>
      </c>
      <c r="AF113">
        <v>8.7387387387387383E-2</v>
      </c>
      <c r="AG113">
        <v>0.20540540540540542</v>
      </c>
      <c r="AH113">
        <v>0.21441441441441442</v>
      </c>
      <c r="AI113">
        <v>4.5045045045045046E-4</v>
      </c>
      <c r="AJ113">
        <v>0.21486486486486486</v>
      </c>
      <c r="AM113">
        <f t="shared" si="1"/>
        <v>33.299999999999997</v>
      </c>
    </row>
    <row r="114" spans="1:39">
      <c r="A114" s="20">
        <v>495</v>
      </c>
      <c r="B114" t="s">
        <v>10</v>
      </c>
      <c r="C114" s="22" t="s">
        <v>47</v>
      </c>
      <c r="D114">
        <v>8240</v>
      </c>
      <c r="E114">
        <v>105</v>
      </c>
      <c r="F114" s="43">
        <v>78.476190476190482</v>
      </c>
      <c r="G114">
        <v>340</v>
      </c>
      <c r="H114" s="43">
        <v>0.30882352941176472</v>
      </c>
      <c r="I114" s="20">
        <v>0.67151702800000002</v>
      </c>
      <c r="J114">
        <v>0.67801857600000004</v>
      </c>
      <c r="K114">
        <v>1</v>
      </c>
      <c r="L114">
        <v>0.90681114600000001</v>
      </c>
      <c r="M114">
        <v>0.94055727600000005</v>
      </c>
      <c r="N114">
        <v>0.87647058799999999</v>
      </c>
      <c r="O114">
        <v>0.67151702800000002</v>
      </c>
      <c r="P114">
        <v>0.79566563499999998</v>
      </c>
      <c r="Q114">
        <v>0.81176470599999995</v>
      </c>
      <c r="R114">
        <v>0.72941176500000005</v>
      </c>
      <c r="S114">
        <v>0.72476780200000002</v>
      </c>
      <c r="T114" s="22">
        <v>0.67801857600000004</v>
      </c>
      <c r="U114" s="20" t="s">
        <v>143</v>
      </c>
      <c r="V114" t="s">
        <v>143</v>
      </c>
      <c r="W114">
        <v>7</v>
      </c>
      <c r="X114" s="22">
        <v>4</v>
      </c>
      <c r="Y114" s="20">
        <v>222300</v>
      </c>
      <c r="Z114">
        <v>221400</v>
      </c>
      <c r="AA114">
        <v>608400</v>
      </c>
      <c r="AB114" s="22">
        <v>100800</v>
      </c>
      <c r="AC114" s="20">
        <v>2.0283975659229209E-3</v>
      </c>
      <c r="AD114" s="22">
        <v>0.71573604060913709</v>
      </c>
      <c r="AE114">
        <v>7.9347515705311247E-2</v>
      </c>
      <c r="AF114">
        <v>7.9026270702455742E-2</v>
      </c>
      <c r="AG114">
        <v>0.158373786407767</v>
      </c>
      <c r="AH114">
        <v>0.21716162193032554</v>
      </c>
      <c r="AI114">
        <v>3.597944031981725E-2</v>
      </c>
      <c r="AJ114">
        <v>0.25314106225014277</v>
      </c>
      <c r="AM114">
        <f t="shared" si="1"/>
        <v>41.2</v>
      </c>
    </row>
    <row r="115" spans="1:39">
      <c r="A115" s="20">
        <v>497</v>
      </c>
      <c r="B115" t="s">
        <v>10</v>
      </c>
      <c r="C115" s="22" t="s">
        <v>47</v>
      </c>
      <c r="D115">
        <v>4515</v>
      </c>
      <c r="E115">
        <v>45</v>
      </c>
      <c r="F115" s="43">
        <v>100.33333333333333</v>
      </c>
      <c r="G115">
        <v>200</v>
      </c>
      <c r="H115" s="43">
        <v>0.22500000000000001</v>
      </c>
      <c r="I115" s="20">
        <v>0.60401459899999999</v>
      </c>
      <c r="J115">
        <v>0.60492700700000002</v>
      </c>
      <c r="K115">
        <v>1</v>
      </c>
      <c r="L115">
        <v>0.92244525499999996</v>
      </c>
      <c r="M115">
        <v>0.73083941600000002</v>
      </c>
      <c r="N115">
        <v>0.65419707999999999</v>
      </c>
      <c r="O115">
        <v>0.60401459899999999</v>
      </c>
      <c r="P115">
        <v>0.66879562000000004</v>
      </c>
      <c r="Q115">
        <v>0.750912409</v>
      </c>
      <c r="R115">
        <v>0.59671532800000004</v>
      </c>
      <c r="S115">
        <v>0.61040145999999995</v>
      </c>
      <c r="T115" s="22">
        <v>0.60492700700000002</v>
      </c>
      <c r="U115" s="20" t="s">
        <v>142</v>
      </c>
      <c r="V115" t="s">
        <v>142</v>
      </c>
      <c r="W115">
        <v>3</v>
      </c>
      <c r="X115" s="22">
        <v>1</v>
      </c>
      <c r="Y115" s="20">
        <v>112500</v>
      </c>
      <c r="Z115">
        <v>34200</v>
      </c>
      <c r="AA115">
        <v>140400</v>
      </c>
      <c r="AB115" s="22">
        <v>0</v>
      </c>
      <c r="AC115" s="20">
        <v>0.53374233128834359</v>
      </c>
      <c r="AD115" s="22">
        <v>1</v>
      </c>
      <c r="AE115">
        <v>0.12458471760797342</v>
      </c>
      <c r="AF115">
        <v>3.7873754152823923E-2</v>
      </c>
      <c r="AG115">
        <v>0.16245847176079733</v>
      </c>
      <c r="AH115">
        <v>0.15548172757475084</v>
      </c>
      <c r="AI115">
        <v>0</v>
      </c>
      <c r="AJ115">
        <v>0.15548172757475084</v>
      </c>
      <c r="AM115">
        <f t="shared" si="1"/>
        <v>22.574999999999999</v>
      </c>
    </row>
    <row r="116" spans="1:39">
      <c r="A116" s="20">
        <v>498</v>
      </c>
      <c r="B116" t="s">
        <v>12</v>
      </c>
      <c r="C116" s="22" t="s">
        <v>47</v>
      </c>
      <c r="D116">
        <v>2670</v>
      </c>
      <c r="E116">
        <v>390</v>
      </c>
      <c r="F116" s="43">
        <v>6.8461538461538458</v>
      </c>
      <c r="G116">
        <v>200</v>
      </c>
      <c r="H116" s="43">
        <v>1.95</v>
      </c>
      <c r="I116" s="20">
        <v>0.37809187300000002</v>
      </c>
      <c r="K116">
        <v>1</v>
      </c>
      <c r="L116">
        <v>0.80035335699999999</v>
      </c>
      <c r="M116">
        <v>0.46819788000000001</v>
      </c>
      <c r="N116">
        <v>0.46996466399999998</v>
      </c>
      <c r="O116">
        <v>0.37809187300000002</v>
      </c>
      <c r="P116">
        <v>0.40812720800000002</v>
      </c>
      <c r="Q116">
        <v>0.35512367500000003</v>
      </c>
      <c r="T116" s="22"/>
      <c r="U116" s="20" t="s">
        <v>142</v>
      </c>
      <c r="V116" t="s">
        <v>142</v>
      </c>
      <c r="W116">
        <v>2</v>
      </c>
      <c r="X116" s="22">
        <v>2</v>
      </c>
      <c r="Y116" s="20">
        <v>176400</v>
      </c>
      <c r="Z116">
        <v>56700</v>
      </c>
      <c r="AA116">
        <v>148500</v>
      </c>
      <c r="AB116" s="22">
        <v>0</v>
      </c>
      <c r="AC116" s="20">
        <v>0.51351351351351349</v>
      </c>
      <c r="AD116" s="22">
        <v>1</v>
      </c>
      <c r="AE116">
        <v>0.33033707865168538</v>
      </c>
      <c r="AF116">
        <v>0.10617977528089888</v>
      </c>
      <c r="AG116">
        <v>0.43651685393258427</v>
      </c>
      <c r="AH116">
        <v>0.27808988764044945</v>
      </c>
      <c r="AI116">
        <v>0</v>
      </c>
      <c r="AJ116">
        <v>0.27808988764044945</v>
      </c>
      <c r="AM116">
        <f t="shared" si="1"/>
        <v>13.35</v>
      </c>
    </row>
    <row r="117" spans="1:39">
      <c r="A117" s="20">
        <v>500</v>
      </c>
      <c r="B117" t="s">
        <v>10</v>
      </c>
      <c r="C117" s="22" t="s">
        <v>47</v>
      </c>
      <c r="D117">
        <v>6370</v>
      </c>
      <c r="E117">
        <v>550</v>
      </c>
      <c r="F117" s="43">
        <v>11.581818181818182</v>
      </c>
      <c r="G117">
        <v>220</v>
      </c>
      <c r="H117" s="43">
        <v>2.5</v>
      </c>
      <c r="I117" s="20">
        <v>0.58460667799999999</v>
      </c>
      <c r="J117">
        <v>0.59818902100000004</v>
      </c>
      <c r="K117">
        <v>1</v>
      </c>
      <c r="L117">
        <v>0.83135257500000004</v>
      </c>
      <c r="M117">
        <v>0.65195246200000001</v>
      </c>
      <c r="N117">
        <v>0.49518958699999999</v>
      </c>
      <c r="O117">
        <v>0.58460667799999999</v>
      </c>
      <c r="P117">
        <v>0.51160158499999997</v>
      </c>
      <c r="Q117">
        <v>0.62252405200000005</v>
      </c>
      <c r="R117">
        <v>0.57951329900000004</v>
      </c>
      <c r="S117">
        <v>0.52235427300000004</v>
      </c>
      <c r="T117" s="22">
        <v>0.59818902100000004</v>
      </c>
      <c r="U117" s="20" t="s">
        <v>143</v>
      </c>
      <c r="V117" t="s">
        <v>142</v>
      </c>
      <c r="W117">
        <v>2</v>
      </c>
      <c r="X117" s="22">
        <v>1</v>
      </c>
      <c r="Y117" s="20">
        <v>486000</v>
      </c>
      <c r="Z117">
        <v>99900</v>
      </c>
      <c r="AA117">
        <v>234000</v>
      </c>
      <c r="AB117" s="22">
        <v>0</v>
      </c>
      <c r="AC117" s="20">
        <v>0.65898617511520741</v>
      </c>
      <c r="AD117" s="22">
        <v>1</v>
      </c>
      <c r="AE117">
        <v>0.34679606108177535</v>
      </c>
      <c r="AF117">
        <v>7.1285857000142713E-2</v>
      </c>
      <c r="AG117">
        <v>0.41808191808191808</v>
      </c>
      <c r="AH117">
        <v>0.16697588126159554</v>
      </c>
      <c r="AI117">
        <v>0</v>
      </c>
      <c r="AJ117">
        <v>0.16697588126159554</v>
      </c>
      <c r="AM117">
        <f t="shared" si="1"/>
        <v>31.85</v>
      </c>
    </row>
    <row r="118" spans="1:39">
      <c r="A118" s="20">
        <v>504</v>
      </c>
      <c r="B118" t="s">
        <v>10</v>
      </c>
      <c r="C118" s="22" t="s">
        <v>47</v>
      </c>
      <c r="D118">
        <v>4015</v>
      </c>
      <c r="E118">
        <v>105</v>
      </c>
      <c r="F118" s="43">
        <v>38.238095238095241</v>
      </c>
      <c r="G118">
        <v>200</v>
      </c>
      <c r="H118" s="43">
        <v>0.52500000000000002</v>
      </c>
      <c r="I118" s="20">
        <v>0.59869848199999998</v>
      </c>
      <c r="J118">
        <v>0.257049892</v>
      </c>
      <c r="K118">
        <v>1</v>
      </c>
      <c r="L118">
        <v>1.0010845989999999</v>
      </c>
      <c r="M118">
        <v>0.75813448999999999</v>
      </c>
      <c r="N118">
        <v>0.62689804800000004</v>
      </c>
      <c r="O118">
        <v>0.59869848199999998</v>
      </c>
      <c r="P118">
        <v>0.49891540099999998</v>
      </c>
      <c r="Q118">
        <v>0.41757049899999998</v>
      </c>
      <c r="R118">
        <v>0.44577006499999999</v>
      </c>
      <c r="S118">
        <v>0.25271149700000001</v>
      </c>
      <c r="T118" s="22">
        <v>0.257049892</v>
      </c>
      <c r="U118" s="20" t="s">
        <v>143</v>
      </c>
      <c r="V118" t="s">
        <v>143</v>
      </c>
      <c r="W118">
        <v>1</v>
      </c>
      <c r="X118" s="22">
        <v>1</v>
      </c>
      <c r="Y118" s="20">
        <v>84600</v>
      </c>
      <c r="Z118">
        <v>98100</v>
      </c>
      <c r="AA118">
        <v>36900</v>
      </c>
      <c r="AB118" s="22">
        <v>60300</v>
      </c>
      <c r="AC118" s="20">
        <v>-7.3891625615763554E-2</v>
      </c>
      <c r="AD118" s="22">
        <v>-0.24074074074074073</v>
      </c>
      <c r="AE118">
        <v>0.10535491905354918</v>
      </c>
      <c r="AF118">
        <v>0.12216687422166875</v>
      </c>
      <c r="AG118">
        <v>0.22752179327521793</v>
      </c>
      <c r="AH118">
        <v>4.5952677459526775E-2</v>
      </c>
      <c r="AI118">
        <v>7.5093399750934001E-2</v>
      </c>
      <c r="AJ118">
        <v>0.12104607721046078</v>
      </c>
      <c r="AM118">
        <f t="shared" si="1"/>
        <v>20.074999999999999</v>
      </c>
    </row>
    <row r="119" spans="1:39">
      <c r="A119" s="20">
        <v>509</v>
      </c>
      <c r="B119" t="s">
        <v>10</v>
      </c>
      <c r="C119" s="22" t="s">
        <v>47</v>
      </c>
      <c r="D119">
        <v>8020</v>
      </c>
      <c r="E119">
        <v>80</v>
      </c>
      <c r="F119" s="43">
        <v>100.25</v>
      </c>
      <c r="G119">
        <v>220</v>
      </c>
      <c r="H119" s="43">
        <v>0.36363636363636365</v>
      </c>
      <c r="I119" s="20">
        <v>0.50746268699999997</v>
      </c>
      <c r="J119">
        <v>0.45055970099999998</v>
      </c>
      <c r="K119">
        <v>1</v>
      </c>
      <c r="L119">
        <v>0.91044776100000002</v>
      </c>
      <c r="M119">
        <v>0.62593283600000005</v>
      </c>
      <c r="N119">
        <v>0.51305970099999998</v>
      </c>
      <c r="O119">
        <v>0.50746268699999997</v>
      </c>
      <c r="P119">
        <v>0.50279850699999995</v>
      </c>
      <c r="Q119">
        <v>0.75186567199999998</v>
      </c>
      <c r="R119">
        <v>0.53871268699999997</v>
      </c>
      <c r="S119">
        <v>0.50326492499999997</v>
      </c>
      <c r="T119" s="22">
        <v>0.45055970099999998</v>
      </c>
      <c r="U119" s="20" t="s">
        <v>142</v>
      </c>
      <c r="V119" t="s">
        <v>142</v>
      </c>
      <c r="W119">
        <v>1</v>
      </c>
      <c r="X119" s="22">
        <v>2</v>
      </c>
      <c r="Y119" s="20">
        <v>370800</v>
      </c>
      <c r="Z119">
        <v>7200</v>
      </c>
      <c r="AA119">
        <v>349200</v>
      </c>
      <c r="AB119" s="22">
        <v>4500</v>
      </c>
      <c r="AC119" s="20">
        <v>0.96190476190476193</v>
      </c>
      <c r="AD119" s="22">
        <v>0.97455470737913485</v>
      </c>
      <c r="AE119">
        <v>0.2101564271140331</v>
      </c>
      <c r="AF119">
        <v>4.0807073226025847E-3</v>
      </c>
      <c r="AG119">
        <v>0.21423713443663567</v>
      </c>
      <c r="AH119">
        <v>0.19791430514622535</v>
      </c>
      <c r="AI119">
        <v>2.5504420766266152E-3</v>
      </c>
      <c r="AJ119">
        <v>0.20046474722285196</v>
      </c>
      <c r="AM119">
        <f t="shared" si="1"/>
        <v>40.1</v>
      </c>
    </row>
    <row r="120" spans="1:39">
      <c r="A120" s="20">
        <v>512</v>
      </c>
      <c r="B120" t="s">
        <v>12</v>
      </c>
      <c r="C120" s="22" t="s">
        <v>47</v>
      </c>
      <c r="D120">
        <v>2855</v>
      </c>
      <c r="E120">
        <v>675</v>
      </c>
      <c r="F120" s="43">
        <v>4.2296296296296294</v>
      </c>
      <c r="G120">
        <v>200</v>
      </c>
      <c r="H120" s="43">
        <v>3.375</v>
      </c>
      <c r="I120" s="20">
        <v>0.287356322</v>
      </c>
      <c r="J120">
        <v>0.353037767</v>
      </c>
      <c r="K120">
        <v>1</v>
      </c>
      <c r="L120">
        <v>1.1149425289999999</v>
      </c>
      <c r="M120">
        <v>0.92282430199999999</v>
      </c>
      <c r="N120">
        <v>0.51395730699999997</v>
      </c>
      <c r="O120">
        <v>0.287356322</v>
      </c>
      <c r="P120">
        <v>0.33661740600000001</v>
      </c>
      <c r="Q120">
        <v>0.31855500799999997</v>
      </c>
      <c r="R120">
        <v>0.33333333300000001</v>
      </c>
      <c r="S120">
        <v>0.37931034499999999</v>
      </c>
      <c r="T120" s="22">
        <v>0.353037767</v>
      </c>
      <c r="U120" s="20" t="s">
        <v>142</v>
      </c>
      <c r="V120" t="s">
        <v>142</v>
      </c>
      <c r="W120">
        <v>3</v>
      </c>
      <c r="X120" s="22">
        <v>1</v>
      </c>
      <c r="Y120" s="20">
        <v>310500</v>
      </c>
      <c r="Z120">
        <v>31500</v>
      </c>
      <c r="AA120">
        <v>155700</v>
      </c>
      <c r="AB120" s="22">
        <v>4500</v>
      </c>
      <c r="AC120" s="20">
        <v>0.81578947368421051</v>
      </c>
      <c r="AD120" s="22">
        <v>0.9438202247191011</v>
      </c>
      <c r="AE120">
        <v>0.54378283712784592</v>
      </c>
      <c r="AF120">
        <v>5.5166374781085811E-2</v>
      </c>
      <c r="AG120">
        <v>0.59894921190893169</v>
      </c>
      <c r="AH120">
        <v>0.27267950963222415</v>
      </c>
      <c r="AI120">
        <v>7.8809106830122592E-3</v>
      </c>
      <c r="AJ120">
        <v>0.28056042031523643</v>
      </c>
      <c r="AM120">
        <f t="shared" si="1"/>
        <v>14.275</v>
      </c>
    </row>
    <row r="121" spans="1:39">
      <c r="A121" s="20">
        <v>513</v>
      </c>
      <c r="B121" t="s">
        <v>12</v>
      </c>
      <c r="C121" s="22" t="s">
        <v>46</v>
      </c>
      <c r="D121">
        <v>10780</v>
      </c>
      <c r="E121">
        <v>2010</v>
      </c>
      <c r="F121" s="43">
        <v>5.3631840796019903</v>
      </c>
      <c r="G121">
        <v>300</v>
      </c>
      <c r="H121" s="43">
        <v>6.7</v>
      </c>
      <c r="I121" s="20">
        <v>0.39183424700000002</v>
      </c>
      <c r="K121">
        <v>1</v>
      </c>
      <c r="L121">
        <v>0.67601056299999995</v>
      </c>
      <c r="M121">
        <v>0.66341661600000001</v>
      </c>
      <c r="N121">
        <v>0.36766199500000002</v>
      </c>
      <c r="O121">
        <v>0.39183424700000002</v>
      </c>
      <c r="P121">
        <v>0.32988015399999998</v>
      </c>
      <c r="Q121">
        <v>0.31302051600000003</v>
      </c>
      <c r="R121">
        <v>0.29941092800000002</v>
      </c>
      <c r="T121" s="22"/>
      <c r="U121" s="20" t="s">
        <v>142</v>
      </c>
      <c r="V121" t="s">
        <v>142</v>
      </c>
      <c r="W121">
        <v>1</v>
      </c>
      <c r="X121" s="22">
        <v>3</v>
      </c>
      <c r="Y121" s="20">
        <v>1300500</v>
      </c>
      <c r="Z121">
        <v>152100</v>
      </c>
      <c r="AA121">
        <v>883800</v>
      </c>
      <c r="AB121" s="22">
        <v>0</v>
      </c>
      <c r="AC121" s="20">
        <v>0.79058240396530355</v>
      </c>
      <c r="AD121" s="22">
        <v>1</v>
      </c>
      <c r="AE121">
        <v>0.40213358070500926</v>
      </c>
      <c r="AF121">
        <v>4.7031539888682743E-2</v>
      </c>
      <c r="AG121">
        <v>0.44916512059369201</v>
      </c>
      <c r="AH121">
        <v>0.27328385899814472</v>
      </c>
      <c r="AI121">
        <v>0</v>
      </c>
      <c r="AJ121">
        <v>0.27328385899814472</v>
      </c>
      <c r="AM121">
        <f t="shared" si="1"/>
        <v>53.9</v>
      </c>
    </row>
    <row r="122" spans="1:39">
      <c r="A122" s="20">
        <v>533</v>
      </c>
      <c r="B122" t="s">
        <v>10</v>
      </c>
      <c r="C122" s="22" t="s">
        <v>48</v>
      </c>
      <c r="D122">
        <v>16530</v>
      </c>
      <c r="E122">
        <v>75</v>
      </c>
      <c r="F122" s="43">
        <v>220.4</v>
      </c>
      <c r="G122">
        <v>780</v>
      </c>
      <c r="H122" s="43">
        <v>9.6153846153846159E-2</v>
      </c>
      <c r="I122" s="20">
        <v>0.68796237900000001</v>
      </c>
      <c r="J122">
        <v>0.67167517300000001</v>
      </c>
      <c r="K122">
        <v>1</v>
      </c>
      <c r="L122">
        <v>0.80071113199999999</v>
      </c>
      <c r="M122">
        <v>0.744508803</v>
      </c>
      <c r="N122">
        <v>0.756150714</v>
      </c>
      <c r="O122">
        <v>0.68796237900000001</v>
      </c>
      <c r="P122">
        <v>0.76165624799999998</v>
      </c>
      <c r="Q122">
        <v>0.72489533799999994</v>
      </c>
      <c r="R122">
        <v>0.76360612500000002</v>
      </c>
      <c r="S122">
        <v>0.70654355700000004</v>
      </c>
      <c r="T122" s="22">
        <v>0.67167517300000001</v>
      </c>
      <c r="U122" s="20" t="s">
        <v>143</v>
      </c>
      <c r="V122" t="s">
        <v>146</v>
      </c>
      <c r="W122">
        <v>8</v>
      </c>
      <c r="X122" s="22">
        <v>6</v>
      </c>
      <c r="Y122" s="20">
        <v>2688300</v>
      </c>
      <c r="Z122">
        <v>884700</v>
      </c>
      <c r="AA122">
        <v>1617300</v>
      </c>
      <c r="AB122" s="22">
        <v>378000</v>
      </c>
      <c r="AC122" s="20">
        <v>0.50478589420654907</v>
      </c>
      <c r="AD122" s="22">
        <v>0.62110960757780787</v>
      </c>
      <c r="AE122">
        <v>0.20850202429149797</v>
      </c>
      <c r="AF122">
        <v>6.8616501465866259E-2</v>
      </c>
      <c r="AG122">
        <v>0.27711852575736423</v>
      </c>
      <c r="AH122">
        <v>0.12543626971939131</v>
      </c>
      <c r="AI122">
        <v>2.9317325143096467E-2</v>
      </c>
      <c r="AJ122">
        <v>0.15475359486248777</v>
      </c>
      <c r="AM122">
        <f t="shared" si="1"/>
        <v>82.65</v>
      </c>
    </row>
    <row r="123" spans="1:39">
      <c r="A123" s="20">
        <v>535</v>
      </c>
      <c r="B123" t="s">
        <v>12</v>
      </c>
      <c r="C123" s="22" t="s">
        <v>42</v>
      </c>
      <c r="D123">
        <v>9090</v>
      </c>
      <c r="E123">
        <v>3410</v>
      </c>
      <c r="F123" s="43">
        <v>2.6656891495601172</v>
      </c>
      <c r="G123">
        <v>1200</v>
      </c>
      <c r="H123" s="43">
        <v>2.8416666666666668</v>
      </c>
      <c r="I123" s="20">
        <v>0.55166596400000001</v>
      </c>
      <c r="K123">
        <v>1</v>
      </c>
      <c r="L123">
        <v>0.93578658800000003</v>
      </c>
      <c r="M123">
        <v>0.83150569399999996</v>
      </c>
      <c r="N123">
        <v>0.70181358100000002</v>
      </c>
      <c r="O123">
        <v>0.55166596400000001</v>
      </c>
      <c r="P123">
        <v>0.56822015999999997</v>
      </c>
      <c r="Q123">
        <v>0.62547448299999997</v>
      </c>
      <c r="T123" s="22"/>
      <c r="U123" s="20" t="s">
        <v>142</v>
      </c>
      <c r="W123">
        <v>4</v>
      </c>
      <c r="X123" s="22"/>
      <c r="Y123" s="20">
        <v>4673700</v>
      </c>
      <c r="Z123">
        <v>228600</v>
      </c>
      <c r="AA123">
        <v>0</v>
      </c>
      <c r="AB123" s="22">
        <v>0</v>
      </c>
      <c r="AC123" s="20">
        <v>0.90673765375436022</v>
      </c>
      <c r="AD123" s="22" t="s">
        <v>145</v>
      </c>
      <c r="AE123">
        <v>0.42846534653465346</v>
      </c>
      <c r="AF123">
        <v>2.0957095709570956E-2</v>
      </c>
      <c r="AG123">
        <v>0.4494224422442244</v>
      </c>
      <c r="AH123">
        <v>0</v>
      </c>
      <c r="AI123">
        <v>0</v>
      </c>
      <c r="AJ123">
        <v>0</v>
      </c>
      <c r="AM123">
        <f t="shared" si="1"/>
        <v>45.45</v>
      </c>
    </row>
    <row r="124" spans="1:39">
      <c r="A124" s="20">
        <v>537</v>
      </c>
      <c r="B124" t="s">
        <v>10</v>
      </c>
      <c r="C124" s="22" t="s">
        <v>49</v>
      </c>
      <c r="D124">
        <v>3580</v>
      </c>
      <c r="E124">
        <v>100</v>
      </c>
      <c r="F124" s="43">
        <v>35.799999999999997</v>
      </c>
      <c r="G124">
        <v>220</v>
      </c>
      <c r="H124" s="43">
        <v>0.45454545454545453</v>
      </c>
      <c r="I124" s="20">
        <v>0.49012345699999998</v>
      </c>
      <c r="J124">
        <v>0.45308641999999999</v>
      </c>
      <c r="K124">
        <v>1</v>
      </c>
      <c r="L124">
        <v>0.67160493799999998</v>
      </c>
      <c r="M124">
        <v>0.487654321</v>
      </c>
      <c r="N124">
        <v>0.44074074099999999</v>
      </c>
      <c r="O124">
        <v>0.49012345699999998</v>
      </c>
      <c r="P124">
        <v>0.65925925900000004</v>
      </c>
      <c r="Q124">
        <v>0.38765432100000002</v>
      </c>
      <c r="R124">
        <v>0.42345679000000003</v>
      </c>
      <c r="S124">
        <v>0.46666666699999998</v>
      </c>
      <c r="T124" s="22">
        <v>0.45308641999999999</v>
      </c>
      <c r="U124" s="20" t="s">
        <v>143</v>
      </c>
      <c r="V124" t="s">
        <v>142</v>
      </c>
      <c r="W124">
        <v>3</v>
      </c>
      <c r="X124" s="22">
        <v>1</v>
      </c>
      <c r="Y124" s="20">
        <v>162900</v>
      </c>
      <c r="Z124">
        <v>71100</v>
      </c>
      <c r="AA124">
        <v>195300</v>
      </c>
      <c r="AB124" s="22">
        <v>5400</v>
      </c>
      <c r="AC124" s="20">
        <v>0.3923076923076923</v>
      </c>
      <c r="AD124" s="22">
        <v>0.94618834080717484</v>
      </c>
      <c r="AE124">
        <v>0.20683087861858812</v>
      </c>
      <c r="AF124">
        <v>9.0274250888776025E-2</v>
      </c>
      <c r="AG124">
        <v>0.29710512950736412</v>
      </c>
      <c r="AH124">
        <v>0.24796851193499239</v>
      </c>
      <c r="AI124">
        <v>6.8562722194007112E-3</v>
      </c>
      <c r="AJ124">
        <v>0.25482478415439308</v>
      </c>
      <c r="AM124">
        <f t="shared" si="1"/>
        <v>17.899999999999999</v>
      </c>
    </row>
    <row r="125" spans="1:39">
      <c r="A125" s="20">
        <v>539</v>
      </c>
      <c r="B125" t="s">
        <v>10</v>
      </c>
      <c r="C125" s="22" t="s">
        <v>49</v>
      </c>
      <c r="D125">
        <v>7280</v>
      </c>
      <c r="E125">
        <v>50</v>
      </c>
      <c r="F125" s="43">
        <v>145.6</v>
      </c>
      <c r="G125">
        <v>220</v>
      </c>
      <c r="H125" s="43">
        <v>0.22727272727272727</v>
      </c>
      <c r="I125" s="20">
        <v>0.88091286300000005</v>
      </c>
      <c r="J125">
        <v>0.76182572599999998</v>
      </c>
      <c r="K125">
        <v>1</v>
      </c>
      <c r="L125">
        <v>1.02406639</v>
      </c>
      <c r="M125">
        <v>0.87676348500000001</v>
      </c>
      <c r="N125">
        <v>0.80705394200000002</v>
      </c>
      <c r="O125">
        <v>0.88091286300000005</v>
      </c>
      <c r="P125">
        <v>0.81867219899999999</v>
      </c>
      <c r="Q125">
        <v>0.59460580900000004</v>
      </c>
      <c r="R125">
        <v>0.53568464699999996</v>
      </c>
      <c r="S125">
        <v>0.45809128599999999</v>
      </c>
      <c r="T125" s="22">
        <v>0.76182572599999998</v>
      </c>
      <c r="U125" s="20" t="s">
        <v>143</v>
      </c>
      <c r="V125" t="s">
        <v>142</v>
      </c>
      <c r="W125">
        <v>6</v>
      </c>
      <c r="X125" s="22">
        <v>3</v>
      </c>
      <c r="Y125" s="20">
        <v>510300</v>
      </c>
      <c r="Z125">
        <v>91800</v>
      </c>
      <c r="AA125">
        <v>411300</v>
      </c>
      <c r="AB125" s="22">
        <v>3600</v>
      </c>
      <c r="AC125" s="20">
        <v>0.69506726457399104</v>
      </c>
      <c r="AD125" s="22">
        <v>0.98264642082429499</v>
      </c>
      <c r="AE125">
        <v>0.31861888111888109</v>
      </c>
      <c r="AF125">
        <v>5.731768231768232E-2</v>
      </c>
      <c r="AG125">
        <v>0.3759365634365634</v>
      </c>
      <c r="AH125">
        <v>0.25680569430569433</v>
      </c>
      <c r="AI125">
        <v>2.247752247752248E-3</v>
      </c>
      <c r="AJ125">
        <v>0.25905344655344659</v>
      </c>
      <c r="AM125">
        <f t="shared" si="1"/>
        <v>36.4</v>
      </c>
    </row>
    <row r="126" spans="1:39">
      <c r="A126" s="20">
        <v>540</v>
      </c>
      <c r="B126" t="s">
        <v>10</v>
      </c>
      <c r="C126" s="22" t="s">
        <v>49</v>
      </c>
      <c r="D126">
        <v>4060</v>
      </c>
      <c r="E126">
        <v>50</v>
      </c>
      <c r="F126" s="43">
        <v>81.2</v>
      </c>
      <c r="G126">
        <v>220</v>
      </c>
      <c r="H126" s="43">
        <v>0.22727272727272727</v>
      </c>
      <c r="I126" s="20">
        <v>0.79547596600000003</v>
      </c>
      <c r="K126">
        <v>1</v>
      </c>
      <c r="L126">
        <v>0.94156456200000005</v>
      </c>
      <c r="M126">
        <v>0.89820923699999999</v>
      </c>
      <c r="N126">
        <v>0.87370405299999998</v>
      </c>
      <c r="O126">
        <v>0.79547596600000003</v>
      </c>
      <c r="T126" s="22"/>
      <c r="U126" s="20" t="s">
        <v>143</v>
      </c>
      <c r="V126" t="s">
        <v>143</v>
      </c>
      <c r="W126">
        <v>3</v>
      </c>
      <c r="X126" s="22">
        <v>3</v>
      </c>
      <c r="Y126" s="20">
        <v>43200</v>
      </c>
      <c r="Z126">
        <v>137700</v>
      </c>
      <c r="AA126">
        <v>1800</v>
      </c>
      <c r="AB126" s="22">
        <v>104400</v>
      </c>
      <c r="AC126" s="20">
        <v>-0.52238805970149249</v>
      </c>
      <c r="AD126" s="22">
        <v>-0.96610169491525422</v>
      </c>
      <c r="AE126">
        <v>4.8365427675772503E-2</v>
      </c>
      <c r="AF126">
        <v>0.15416480071652486</v>
      </c>
      <c r="AG126">
        <v>0.20253022839229737</v>
      </c>
      <c r="AH126">
        <v>2.0152261531571876E-3</v>
      </c>
      <c r="AI126">
        <v>0.11688311688311688</v>
      </c>
      <c r="AJ126">
        <v>0.11889834303627407</v>
      </c>
      <c r="AM126">
        <f t="shared" si="1"/>
        <v>20.3</v>
      </c>
    </row>
    <row r="127" spans="1:39">
      <c r="A127" s="20">
        <v>541</v>
      </c>
      <c r="B127" t="s">
        <v>10</v>
      </c>
      <c r="C127" s="22" t="s">
        <v>49</v>
      </c>
      <c r="D127">
        <v>4590</v>
      </c>
      <c r="E127">
        <v>80</v>
      </c>
      <c r="F127" s="43">
        <v>57.375</v>
      </c>
      <c r="G127">
        <v>220</v>
      </c>
      <c r="H127" s="43">
        <v>0.36363636363636365</v>
      </c>
      <c r="I127" s="20">
        <v>0.442610063</v>
      </c>
      <c r="J127">
        <v>0.50235849099999996</v>
      </c>
      <c r="K127">
        <v>1</v>
      </c>
      <c r="L127">
        <v>0.64465408800000001</v>
      </c>
      <c r="M127">
        <v>0.80267295599999999</v>
      </c>
      <c r="N127">
        <v>0.83411949699999999</v>
      </c>
      <c r="O127">
        <v>0.442610063</v>
      </c>
      <c r="P127">
        <v>0.54638364800000006</v>
      </c>
      <c r="Q127">
        <v>0.54323899399999998</v>
      </c>
      <c r="R127">
        <v>0.59669811299999997</v>
      </c>
      <c r="S127">
        <v>0.696540881</v>
      </c>
      <c r="T127" s="22">
        <v>0.50235849099999996</v>
      </c>
      <c r="U127" s="20" t="s">
        <v>143</v>
      </c>
      <c r="V127" t="s">
        <v>143</v>
      </c>
      <c r="W127">
        <v>1</v>
      </c>
      <c r="X127" s="22">
        <v>1</v>
      </c>
      <c r="Y127" s="20">
        <v>167400</v>
      </c>
      <c r="Z127">
        <v>120600</v>
      </c>
      <c r="AA127">
        <v>142200</v>
      </c>
      <c r="AB127" s="22">
        <v>57600</v>
      </c>
      <c r="AC127" s="20">
        <v>0.16250000000000001</v>
      </c>
      <c r="AD127" s="22">
        <v>0.42342342342342343</v>
      </c>
      <c r="AE127">
        <v>0.16577540106951871</v>
      </c>
      <c r="AF127">
        <v>0.11942959001782531</v>
      </c>
      <c r="AG127">
        <v>0.28520499108734404</v>
      </c>
      <c r="AH127">
        <v>0.1408199643493761</v>
      </c>
      <c r="AI127">
        <v>5.7040998217468802E-2</v>
      </c>
      <c r="AJ127">
        <v>0.19786096256684491</v>
      </c>
      <c r="AM127">
        <f t="shared" si="1"/>
        <v>22.95</v>
      </c>
    </row>
    <row r="128" spans="1:39">
      <c r="A128" s="20">
        <v>542</v>
      </c>
      <c r="B128" t="s">
        <v>10</v>
      </c>
      <c r="C128" s="22" t="s">
        <v>49</v>
      </c>
      <c r="D128">
        <v>4110</v>
      </c>
      <c r="E128">
        <v>85</v>
      </c>
      <c r="F128" s="43">
        <v>48.352941176470587</v>
      </c>
      <c r="G128">
        <v>220</v>
      </c>
      <c r="H128" s="43">
        <v>0.38636363636363635</v>
      </c>
      <c r="I128" s="20">
        <v>0.68908170599999996</v>
      </c>
      <c r="J128">
        <v>0.54229934899999999</v>
      </c>
      <c r="K128">
        <v>1</v>
      </c>
      <c r="L128">
        <v>0.85538683999999998</v>
      </c>
      <c r="M128">
        <v>0.82357194499999997</v>
      </c>
      <c r="N128">
        <v>0.73608098300000002</v>
      </c>
      <c r="O128">
        <v>0.68908170599999996</v>
      </c>
      <c r="P128">
        <v>0.74765003600000002</v>
      </c>
      <c r="Q128">
        <v>0.603036876</v>
      </c>
      <c r="R128">
        <v>0.87129428799999997</v>
      </c>
      <c r="S128">
        <v>0.727404194</v>
      </c>
      <c r="T128" s="22">
        <v>0.54229934899999999</v>
      </c>
      <c r="U128" s="20" t="s">
        <v>143</v>
      </c>
      <c r="V128" t="s">
        <v>143</v>
      </c>
      <c r="W128">
        <v>2</v>
      </c>
      <c r="X128" s="22">
        <v>3</v>
      </c>
      <c r="Y128" s="20">
        <v>99900</v>
      </c>
      <c r="Z128">
        <v>123300</v>
      </c>
      <c r="AA128">
        <v>132300</v>
      </c>
      <c r="AB128" s="22">
        <v>101700</v>
      </c>
      <c r="AC128" s="20">
        <v>-0.10483870967741936</v>
      </c>
      <c r="AD128" s="22">
        <v>0.13076923076923078</v>
      </c>
      <c r="AE128">
        <v>0.11048440610484406</v>
      </c>
      <c r="AF128">
        <v>0.13636363636363635</v>
      </c>
      <c r="AG128">
        <v>0.24684804246848041</v>
      </c>
      <c r="AH128">
        <v>0.14631718646317188</v>
      </c>
      <c r="AI128">
        <v>0.11247511612475117</v>
      </c>
      <c r="AJ128">
        <v>0.25879230258792307</v>
      </c>
      <c r="AM128">
        <f t="shared" si="1"/>
        <v>20.55</v>
      </c>
    </row>
    <row r="129" spans="1:39">
      <c r="A129" s="20">
        <v>552</v>
      </c>
      <c r="B129" t="s">
        <v>10</v>
      </c>
      <c r="C129" s="22" t="s">
        <v>50</v>
      </c>
      <c r="D129">
        <v>2565</v>
      </c>
      <c r="E129">
        <v>220</v>
      </c>
      <c r="F129" s="43">
        <v>11.659090909090908</v>
      </c>
      <c r="G129">
        <v>280</v>
      </c>
      <c r="H129" s="43">
        <v>0.7857142857142857</v>
      </c>
      <c r="I129" s="20">
        <v>0.57594936708860756</v>
      </c>
      <c r="J129">
        <v>0.37816455696202533</v>
      </c>
      <c r="K129">
        <v>1</v>
      </c>
      <c r="L129">
        <v>0.66139240506329111</v>
      </c>
      <c r="M129">
        <v>0.64873417721518989</v>
      </c>
      <c r="N129">
        <v>0.63291139240506333</v>
      </c>
      <c r="O129">
        <v>0.57594936708860756</v>
      </c>
      <c r="P129">
        <v>0.58544303797468356</v>
      </c>
      <c r="Q129">
        <v>0.46835443037974683</v>
      </c>
      <c r="R129">
        <v>0.39082278481012656</v>
      </c>
      <c r="S129">
        <v>0.41139240506329117</v>
      </c>
      <c r="T129" s="22">
        <v>0.37816455696202533</v>
      </c>
      <c r="U129" s="20" t="s">
        <v>142</v>
      </c>
      <c r="V129" t="s">
        <v>142</v>
      </c>
      <c r="W129">
        <v>1</v>
      </c>
      <c r="X129" s="22">
        <v>3</v>
      </c>
      <c r="Y129" s="20">
        <v>210600</v>
      </c>
      <c r="Z129">
        <v>11700</v>
      </c>
      <c r="AA129">
        <v>98100</v>
      </c>
      <c r="AB129" s="22">
        <v>0</v>
      </c>
      <c r="AC129" s="20">
        <v>0.89473684210526316</v>
      </c>
      <c r="AD129" s="22">
        <v>1</v>
      </c>
      <c r="AE129">
        <v>0.2932330827067669</v>
      </c>
      <c r="AF129">
        <v>1.6290726817042606E-2</v>
      </c>
      <c r="AG129">
        <v>0.30952380952380953</v>
      </c>
      <c r="AH129">
        <v>0.13659147869674185</v>
      </c>
      <c r="AI129">
        <v>0</v>
      </c>
      <c r="AJ129">
        <v>0.13659147869674185</v>
      </c>
      <c r="AM129">
        <f t="shared" si="1"/>
        <v>12.824999999999999</v>
      </c>
    </row>
    <row r="130" spans="1:39" ht="14.25" thickBot="1">
      <c r="A130" s="20">
        <v>554</v>
      </c>
      <c r="B130" t="s">
        <v>10</v>
      </c>
      <c r="C130" s="22" t="s">
        <v>50</v>
      </c>
      <c r="D130">
        <v>4390</v>
      </c>
      <c r="E130">
        <v>85</v>
      </c>
      <c r="F130" s="43">
        <v>51.647058823529413</v>
      </c>
      <c r="G130">
        <v>200</v>
      </c>
      <c r="H130" s="43">
        <v>0.42499999999999999</v>
      </c>
      <c r="I130" s="20">
        <v>0.77070828300000005</v>
      </c>
      <c r="J130">
        <v>0.481392557</v>
      </c>
      <c r="K130">
        <v>1</v>
      </c>
      <c r="L130">
        <v>1.003601441</v>
      </c>
      <c r="M130">
        <v>0.87635054000000001</v>
      </c>
      <c r="N130">
        <v>0.85594237699999998</v>
      </c>
      <c r="O130">
        <v>0.77070828300000005</v>
      </c>
      <c r="P130">
        <v>0.64705882400000003</v>
      </c>
      <c r="Q130">
        <v>0.69747899199999996</v>
      </c>
      <c r="R130">
        <v>0.64705882400000003</v>
      </c>
      <c r="S130">
        <v>0.54861944799999995</v>
      </c>
      <c r="T130" s="22">
        <v>0.481392557</v>
      </c>
      <c r="U130" s="20" t="s">
        <v>143</v>
      </c>
      <c r="V130" t="s">
        <v>143</v>
      </c>
      <c r="W130">
        <v>1</v>
      </c>
      <c r="X130" s="22">
        <v>4</v>
      </c>
      <c r="Y130" s="20">
        <v>73800</v>
      </c>
      <c r="Z130">
        <v>31500</v>
      </c>
      <c r="AA130">
        <v>249300</v>
      </c>
      <c r="AB130" s="22">
        <v>38700</v>
      </c>
      <c r="AC130" s="20">
        <v>0.40170940170940173</v>
      </c>
      <c r="AD130" s="22">
        <v>0.73124999999999996</v>
      </c>
      <c r="AE130">
        <v>8.4054669703872431E-2</v>
      </c>
      <c r="AF130">
        <v>3.5876993166287015E-2</v>
      </c>
      <c r="AG130">
        <v>0.11993166287015944</v>
      </c>
      <c r="AH130">
        <v>0.28394077448747151</v>
      </c>
      <c r="AI130">
        <v>4.4077448747152623E-2</v>
      </c>
      <c r="AJ130">
        <v>0.32801822323462415</v>
      </c>
      <c r="AM130">
        <f t="shared" si="1"/>
        <v>21.95</v>
      </c>
    </row>
    <row r="131" spans="1:39" ht="14.25" thickBot="1">
      <c r="A131" s="20">
        <v>555</v>
      </c>
      <c r="B131" s="44" t="s">
        <v>10</v>
      </c>
      <c r="C131" s="45" t="s">
        <v>50</v>
      </c>
      <c r="D131">
        <v>2820</v>
      </c>
      <c r="E131">
        <v>155</v>
      </c>
      <c r="F131" s="43">
        <v>18.193548387096776</v>
      </c>
      <c r="G131">
        <v>200</v>
      </c>
      <c r="H131" s="43">
        <v>0.77500000000000002</v>
      </c>
      <c r="I131" s="46">
        <v>0.44874274661508706</v>
      </c>
      <c r="J131" s="44">
        <v>9.8646034816247577E-2</v>
      </c>
      <c r="K131">
        <v>1</v>
      </c>
      <c r="L131">
        <v>0.80851063829787229</v>
      </c>
      <c r="M131">
        <v>0.87234042553191493</v>
      </c>
      <c r="N131">
        <v>0.52224371373307543</v>
      </c>
      <c r="O131">
        <v>0.44874274661508706</v>
      </c>
      <c r="P131">
        <v>0.34816247582205029</v>
      </c>
      <c r="Q131">
        <v>0.30560928433268858</v>
      </c>
      <c r="R131">
        <v>0.29980657640232106</v>
      </c>
      <c r="S131">
        <v>0.14893617021276595</v>
      </c>
      <c r="T131" s="22">
        <v>9.8646034816247577E-2</v>
      </c>
      <c r="U131" s="20" t="s">
        <v>142</v>
      </c>
      <c r="V131" t="s">
        <v>142</v>
      </c>
      <c r="W131">
        <v>2</v>
      </c>
      <c r="X131" s="22">
        <v>6</v>
      </c>
      <c r="Y131" s="20">
        <v>148500</v>
      </c>
      <c r="Z131">
        <v>30600</v>
      </c>
      <c r="AA131">
        <v>105300</v>
      </c>
      <c r="AB131" s="22">
        <v>0</v>
      </c>
      <c r="AC131" s="20">
        <v>0.65829145728643212</v>
      </c>
      <c r="AD131" s="22">
        <v>1</v>
      </c>
      <c r="AE131">
        <v>0.26329787234042551</v>
      </c>
      <c r="AF131">
        <v>5.4255319148936172E-2</v>
      </c>
      <c r="AG131">
        <v>0.31755319148936167</v>
      </c>
      <c r="AH131">
        <v>0.18670212765957447</v>
      </c>
      <c r="AI131">
        <v>0</v>
      </c>
      <c r="AJ131">
        <v>0.18670212765957447</v>
      </c>
      <c r="AM131">
        <f t="shared" ref="AM131:AM194" si="2">D131/200</f>
        <v>14.1</v>
      </c>
    </row>
    <row r="132" spans="1:39">
      <c r="A132" s="20">
        <v>557</v>
      </c>
      <c r="B132" t="s">
        <v>12</v>
      </c>
      <c r="C132" s="22" t="s">
        <v>50</v>
      </c>
      <c r="D132">
        <v>1970</v>
      </c>
      <c r="E132">
        <v>760</v>
      </c>
      <c r="F132" s="43">
        <v>2.5921052631578947</v>
      </c>
      <c r="G132">
        <v>200</v>
      </c>
      <c r="H132" s="43">
        <v>3.8</v>
      </c>
      <c r="I132" s="20">
        <v>0.94638694599999995</v>
      </c>
      <c r="J132">
        <v>0.54312354299999999</v>
      </c>
      <c r="K132">
        <v>1</v>
      </c>
      <c r="L132">
        <v>0.93939393900000001</v>
      </c>
      <c r="M132">
        <v>0.98368298399999998</v>
      </c>
      <c r="N132">
        <v>0.97202797200000002</v>
      </c>
      <c r="O132">
        <v>0.94638694599999995</v>
      </c>
      <c r="P132">
        <v>0.77389277400000001</v>
      </c>
      <c r="Q132">
        <v>0.470862471</v>
      </c>
      <c r="R132">
        <v>1.1118881119999999</v>
      </c>
      <c r="S132">
        <v>1.0116550120000001</v>
      </c>
      <c r="T132" s="22">
        <v>0.54312354299999999</v>
      </c>
      <c r="U132" s="20" t="s">
        <v>146</v>
      </c>
      <c r="V132" t="s">
        <v>142</v>
      </c>
      <c r="W132">
        <v>2</v>
      </c>
      <c r="X132" s="22">
        <v>2</v>
      </c>
      <c r="Y132" s="20">
        <v>157500</v>
      </c>
      <c r="Z132">
        <v>58500</v>
      </c>
      <c r="AA132">
        <v>111600</v>
      </c>
      <c r="AB132" s="22">
        <v>1800</v>
      </c>
      <c r="AC132" s="20">
        <v>0.45833333333333331</v>
      </c>
      <c r="AD132" s="22">
        <v>0.96825396825396826</v>
      </c>
      <c r="AE132">
        <v>0.39974619289340102</v>
      </c>
      <c r="AF132">
        <v>0.14847715736040609</v>
      </c>
      <c r="AG132">
        <v>0.54822335025380708</v>
      </c>
      <c r="AH132">
        <v>0.28324873096446701</v>
      </c>
      <c r="AI132">
        <v>4.5685279187817262E-3</v>
      </c>
      <c r="AJ132">
        <v>0.28781725888324872</v>
      </c>
      <c r="AM132">
        <f t="shared" si="2"/>
        <v>9.85</v>
      </c>
    </row>
    <row r="133" spans="1:39">
      <c r="A133" s="20">
        <v>558</v>
      </c>
      <c r="B133" t="s">
        <v>10</v>
      </c>
      <c r="C133" s="22" t="s">
        <v>50</v>
      </c>
      <c r="D133">
        <v>2925</v>
      </c>
      <c r="E133">
        <v>100</v>
      </c>
      <c r="F133" s="43">
        <v>29.25</v>
      </c>
      <c r="G133">
        <v>200</v>
      </c>
      <c r="H133" s="43">
        <v>0.5</v>
      </c>
      <c r="I133" s="20">
        <v>0.3164983164983165</v>
      </c>
      <c r="J133">
        <v>0.37205387205387208</v>
      </c>
      <c r="K133">
        <v>1</v>
      </c>
      <c r="L133">
        <v>0.54882154882154888</v>
      </c>
      <c r="M133">
        <v>0.42255892255892258</v>
      </c>
      <c r="N133">
        <v>0.41582491582491582</v>
      </c>
      <c r="O133">
        <v>0.3164983164983165</v>
      </c>
      <c r="P133">
        <v>0.34006734006734007</v>
      </c>
      <c r="Q133">
        <v>0.36363636363636365</v>
      </c>
      <c r="R133">
        <v>0.56734006734006737</v>
      </c>
      <c r="S133">
        <v>0.52861952861952866</v>
      </c>
      <c r="T133" s="22">
        <v>0.37205387205387208</v>
      </c>
      <c r="U133" s="20" t="s">
        <v>143</v>
      </c>
      <c r="V133" t="s">
        <v>143</v>
      </c>
      <c r="W133">
        <v>1</v>
      </c>
      <c r="X133" s="22">
        <v>1</v>
      </c>
      <c r="Y133" s="20">
        <v>177300</v>
      </c>
      <c r="Z133">
        <v>109800</v>
      </c>
      <c r="AA133">
        <v>73800</v>
      </c>
      <c r="AB133" s="22">
        <v>81000</v>
      </c>
      <c r="AC133" s="20">
        <v>0.23510971786833856</v>
      </c>
      <c r="AD133" s="22">
        <v>-4.6511627906976744E-2</v>
      </c>
      <c r="AE133">
        <v>0.30307692307692308</v>
      </c>
      <c r="AF133">
        <v>0.18769230769230769</v>
      </c>
      <c r="AG133">
        <v>0.49076923076923074</v>
      </c>
      <c r="AH133">
        <v>0.12615384615384614</v>
      </c>
      <c r="AI133">
        <v>0.13846153846153847</v>
      </c>
      <c r="AJ133">
        <v>0.26461538461538459</v>
      </c>
      <c r="AM133">
        <f t="shared" si="2"/>
        <v>14.625</v>
      </c>
    </row>
    <row r="134" spans="1:39">
      <c r="A134" s="20">
        <v>559</v>
      </c>
      <c r="B134" t="s">
        <v>10</v>
      </c>
      <c r="C134" s="22" t="s">
        <v>51</v>
      </c>
      <c r="D134">
        <v>6040</v>
      </c>
      <c r="E134">
        <v>75</v>
      </c>
      <c r="F134" s="43">
        <v>80.533333333333331</v>
      </c>
      <c r="G134">
        <v>440</v>
      </c>
      <c r="H134" s="43">
        <v>0.17045454545454544</v>
      </c>
      <c r="I134" s="20">
        <v>0.86215139399999996</v>
      </c>
      <c r="J134">
        <v>0.85139442200000004</v>
      </c>
      <c r="K134">
        <v>1</v>
      </c>
      <c r="L134">
        <v>0.87968127500000004</v>
      </c>
      <c r="M134">
        <v>0.919521912</v>
      </c>
      <c r="N134">
        <v>0.89043824699999996</v>
      </c>
      <c r="O134">
        <v>0.86215139399999996</v>
      </c>
      <c r="P134">
        <v>0.89163346600000004</v>
      </c>
      <c r="Q134">
        <v>0.89362549800000002</v>
      </c>
      <c r="R134">
        <v>0.88366533899999999</v>
      </c>
      <c r="S134">
        <v>0.85776892400000004</v>
      </c>
      <c r="T134" s="22">
        <v>0.85139442200000004</v>
      </c>
      <c r="U134" s="20" t="s">
        <v>143</v>
      </c>
      <c r="V134" t="s">
        <v>142</v>
      </c>
      <c r="W134">
        <v>6</v>
      </c>
      <c r="X134" s="22">
        <v>1</v>
      </c>
      <c r="Y134" s="20">
        <v>2700</v>
      </c>
      <c r="Z134">
        <v>569700</v>
      </c>
      <c r="AA134">
        <v>277200</v>
      </c>
      <c r="AB134" s="22">
        <v>0</v>
      </c>
      <c r="AC134" s="20">
        <v>-0.99056603773584906</v>
      </c>
      <c r="AD134" s="22">
        <v>1</v>
      </c>
      <c r="AE134">
        <v>1.0159542444310656E-3</v>
      </c>
      <c r="AF134">
        <v>0.21436634557495485</v>
      </c>
      <c r="AG134">
        <v>0.21538229981938592</v>
      </c>
      <c r="AH134">
        <v>0.10430463576158941</v>
      </c>
      <c r="AI134">
        <v>0</v>
      </c>
      <c r="AJ134">
        <v>0.10430463576158941</v>
      </c>
      <c r="AM134">
        <f t="shared" si="2"/>
        <v>30.2</v>
      </c>
    </row>
    <row r="135" spans="1:39">
      <c r="A135" s="20">
        <v>560</v>
      </c>
      <c r="B135" t="s">
        <v>12</v>
      </c>
      <c r="C135" s="22" t="s">
        <v>42</v>
      </c>
      <c r="D135">
        <v>9600</v>
      </c>
      <c r="E135">
        <v>2620</v>
      </c>
      <c r="F135" s="43">
        <v>3.66412213740458</v>
      </c>
      <c r="G135">
        <v>440</v>
      </c>
      <c r="H135" s="43">
        <v>5.9545454545454541</v>
      </c>
      <c r="I135" s="20">
        <v>0.59439191400000002</v>
      </c>
      <c r="J135">
        <v>0.40251059700000003</v>
      </c>
      <c r="K135">
        <v>1</v>
      </c>
      <c r="L135">
        <v>0.88588196900000005</v>
      </c>
      <c r="M135">
        <v>0.76214541899999999</v>
      </c>
      <c r="N135">
        <v>0.76785132099999998</v>
      </c>
      <c r="O135">
        <v>0.59439191400000002</v>
      </c>
      <c r="P135">
        <v>0.56993804999999997</v>
      </c>
      <c r="Q135">
        <v>0.58787088399999998</v>
      </c>
      <c r="R135">
        <v>0.59015324400000002</v>
      </c>
      <c r="S135">
        <v>0.48157808899999999</v>
      </c>
      <c r="T135" s="22">
        <v>0.40251059700000003</v>
      </c>
      <c r="U135" s="20" t="s">
        <v>142</v>
      </c>
      <c r="V135" t="s">
        <v>142</v>
      </c>
      <c r="W135">
        <v>2</v>
      </c>
      <c r="X135" s="22">
        <v>5</v>
      </c>
      <c r="Y135" s="20">
        <v>1614600</v>
      </c>
      <c r="Z135">
        <v>74700</v>
      </c>
      <c r="AA135">
        <v>786600</v>
      </c>
      <c r="AB135" s="22">
        <v>0</v>
      </c>
      <c r="AC135" s="20">
        <v>0.91156100159829512</v>
      </c>
      <c r="AD135" s="22">
        <v>1</v>
      </c>
      <c r="AE135">
        <v>0.3822443181818182</v>
      </c>
      <c r="AF135">
        <v>1.7684659090909091E-2</v>
      </c>
      <c r="AG135">
        <v>0.3999289772727273</v>
      </c>
      <c r="AH135">
        <v>0.18622159090909091</v>
      </c>
      <c r="AI135">
        <v>0</v>
      </c>
      <c r="AJ135">
        <v>0.18622159090909091</v>
      </c>
      <c r="AM135">
        <f t="shared" si="2"/>
        <v>48</v>
      </c>
    </row>
    <row r="136" spans="1:39">
      <c r="A136" s="20">
        <v>561</v>
      </c>
      <c r="B136" t="s">
        <v>12</v>
      </c>
      <c r="C136" s="22" t="s">
        <v>42</v>
      </c>
      <c r="D136">
        <v>7285</v>
      </c>
      <c r="E136">
        <v>1620</v>
      </c>
      <c r="F136" s="43">
        <v>4.4969135802469138</v>
      </c>
      <c r="G136">
        <v>440</v>
      </c>
      <c r="H136" s="43">
        <v>3.6818181818181817</v>
      </c>
      <c r="I136" s="20">
        <v>0.80634749900000002</v>
      </c>
      <c r="J136">
        <v>0.42872512099999999</v>
      </c>
      <c r="K136">
        <v>1</v>
      </c>
      <c r="L136">
        <v>1.0551371709999999</v>
      </c>
      <c r="M136">
        <v>0.69230769199999997</v>
      </c>
      <c r="N136">
        <v>0.86928456200000004</v>
      </c>
      <c r="O136">
        <v>0.80634749900000002</v>
      </c>
      <c r="P136">
        <v>0.76869284599999999</v>
      </c>
      <c r="Q136">
        <v>0.490317375</v>
      </c>
      <c r="R136">
        <v>0.56589564299999995</v>
      </c>
      <c r="S136">
        <v>0.41231845099999997</v>
      </c>
      <c r="T136" s="22">
        <v>0.42872512099999999</v>
      </c>
      <c r="U136" s="20" t="s">
        <v>143</v>
      </c>
      <c r="V136" t="s">
        <v>142</v>
      </c>
      <c r="W136">
        <v>9</v>
      </c>
      <c r="X136" s="22">
        <v>7</v>
      </c>
      <c r="Y136" s="20">
        <v>1703700</v>
      </c>
      <c r="Z136">
        <v>959400</v>
      </c>
      <c r="AA136">
        <v>1158300</v>
      </c>
      <c r="AB136" s="22">
        <v>0</v>
      </c>
      <c r="AC136" s="20">
        <v>0.27948631294356202</v>
      </c>
      <c r="AD136" s="22">
        <v>1</v>
      </c>
      <c r="AE136">
        <v>0.53150932800898487</v>
      </c>
      <c r="AF136">
        <v>0.29930741873089162</v>
      </c>
      <c r="AG136">
        <v>0.83081674673987649</v>
      </c>
      <c r="AH136">
        <v>0.3613589567604667</v>
      </c>
      <c r="AI136">
        <v>0</v>
      </c>
      <c r="AJ136">
        <v>0.3613589567604667</v>
      </c>
      <c r="AM136">
        <f t="shared" si="2"/>
        <v>36.424999999999997</v>
      </c>
    </row>
    <row r="137" spans="1:39">
      <c r="A137" s="20">
        <v>563</v>
      </c>
      <c r="B137" t="s">
        <v>10</v>
      </c>
      <c r="C137" s="22" t="s">
        <v>42</v>
      </c>
      <c r="D137">
        <v>2845</v>
      </c>
      <c r="E137">
        <v>90</v>
      </c>
      <c r="F137" s="43">
        <v>31.611111111111111</v>
      </c>
      <c r="G137">
        <v>200</v>
      </c>
      <c r="H137" s="43">
        <v>0.45</v>
      </c>
      <c r="I137" s="20">
        <v>0.65482954500000001</v>
      </c>
      <c r="J137">
        <v>1.2642045449999999</v>
      </c>
      <c r="K137">
        <v>1</v>
      </c>
      <c r="L137">
        <v>0.953125</v>
      </c>
      <c r="M137">
        <v>0.70738636399999999</v>
      </c>
      <c r="N137">
        <v>0.79119318199999999</v>
      </c>
      <c r="O137">
        <v>0.65482954500000001</v>
      </c>
      <c r="P137">
        <v>0.74289772700000001</v>
      </c>
      <c r="Q137">
        <v>1.056818182</v>
      </c>
      <c r="R137">
        <v>1.0142045449999999</v>
      </c>
      <c r="S137">
        <v>1.009943182</v>
      </c>
      <c r="T137" s="22">
        <v>1</v>
      </c>
      <c r="U137" s="20" t="s">
        <v>143</v>
      </c>
      <c r="V137" t="s">
        <v>142</v>
      </c>
      <c r="W137">
        <v>2</v>
      </c>
      <c r="X137" s="22">
        <v>3</v>
      </c>
      <c r="Y137" s="20">
        <v>363600</v>
      </c>
      <c r="Z137">
        <v>54900</v>
      </c>
      <c r="AA137">
        <v>163800</v>
      </c>
      <c r="AB137" s="22">
        <v>7200</v>
      </c>
      <c r="AC137" s="20">
        <v>0.73763440860215057</v>
      </c>
      <c r="AD137" s="22">
        <v>0.91578947368421049</v>
      </c>
      <c r="AE137">
        <v>0.63901581722319856</v>
      </c>
      <c r="AF137">
        <v>9.6485061511423553E-2</v>
      </c>
      <c r="AG137">
        <v>0.73550087873462211</v>
      </c>
      <c r="AH137">
        <v>0.28787346221441124</v>
      </c>
      <c r="AI137">
        <v>1.265377855887522E-2</v>
      </c>
      <c r="AJ137">
        <v>0.30052724077328646</v>
      </c>
      <c r="AM137">
        <f t="shared" si="2"/>
        <v>14.225</v>
      </c>
    </row>
    <row r="138" spans="1:39">
      <c r="A138" s="20">
        <v>568</v>
      </c>
      <c r="B138" t="s">
        <v>12</v>
      </c>
      <c r="C138" s="22" t="s">
        <v>42</v>
      </c>
      <c r="D138">
        <v>20300</v>
      </c>
      <c r="E138">
        <v>2080</v>
      </c>
      <c r="F138" s="43">
        <v>9.759615384615385</v>
      </c>
      <c r="G138">
        <v>740</v>
      </c>
      <c r="H138" s="43">
        <v>2.810810810810811</v>
      </c>
      <c r="I138" s="20">
        <v>0.73896236800000004</v>
      </c>
      <c r="K138">
        <v>1</v>
      </c>
      <c r="L138">
        <v>0.94626141699999999</v>
      </c>
      <c r="M138">
        <v>0.89642627100000005</v>
      </c>
      <c r="N138">
        <v>0.70000379000000001</v>
      </c>
      <c r="O138">
        <v>0.73896236800000004</v>
      </c>
      <c r="P138">
        <v>0.65016864399999996</v>
      </c>
      <c r="Q138">
        <v>0.63777617799999997</v>
      </c>
      <c r="R138">
        <v>0.56433092100000004</v>
      </c>
      <c r="T138" s="22"/>
      <c r="U138" s="20" t="s">
        <v>142</v>
      </c>
      <c r="W138">
        <v>5</v>
      </c>
      <c r="X138" s="22"/>
      <c r="Y138" s="20">
        <v>5812200</v>
      </c>
      <c r="Z138">
        <v>1093500</v>
      </c>
      <c r="AA138">
        <v>0</v>
      </c>
      <c r="AB138" s="22">
        <v>0</v>
      </c>
      <c r="AC138" s="20">
        <v>0.68330509579043397</v>
      </c>
      <c r="AD138" s="22" t="s">
        <v>145</v>
      </c>
      <c r="AE138">
        <v>0.38691252829183864</v>
      </c>
      <c r="AF138">
        <v>7.2793236586340029E-2</v>
      </c>
      <c r="AG138">
        <v>0.45970576487817866</v>
      </c>
      <c r="AH138">
        <v>0</v>
      </c>
      <c r="AI138">
        <v>0</v>
      </c>
      <c r="AJ138">
        <v>0</v>
      </c>
      <c r="AM138">
        <f t="shared" si="2"/>
        <v>101.5</v>
      </c>
    </row>
    <row r="139" spans="1:39">
      <c r="A139" s="20">
        <v>569</v>
      </c>
      <c r="B139" t="s">
        <v>10</v>
      </c>
      <c r="C139" s="22" t="s">
        <v>51</v>
      </c>
      <c r="D139">
        <v>6890</v>
      </c>
      <c r="E139">
        <v>40</v>
      </c>
      <c r="F139" s="43">
        <v>172.25</v>
      </c>
      <c r="G139">
        <v>420</v>
      </c>
      <c r="H139" s="43">
        <v>9.5238095238095233E-2</v>
      </c>
      <c r="I139" s="20">
        <v>0.91717709700000005</v>
      </c>
      <c r="J139">
        <v>0.91185086599999998</v>
      </c>
      <c r="K139">
        <v>1</v>
      </c>
      <c r="L139">
        <v>0.99227696399999998</v>
      </c>
      <c r="M139">
        <v>0.91211717699999995</v>
      </c>
      <c r="N139">
        <v>0.95739014600000005</v>
      </c>
      <c r="O139">
        <v>0.91717709700000005</v>
      </c>
      <c r="P139">
        <v>0.91717709700000005</v>
      </c>
      <c r="Q139">
        <v>0.92410119800000001</v>
      </c>
      <c r="R139">
        <v>0.89241011999999997</v>
      </c>
      <c r="S139">
        <v>0.90386151800000003</v>
      </c>
      <c r="T139" s="22">
        <v>0.91185086599999998</v>
      </c>
      <c r="U139" s="20" t="s">
        <v>143</v>
      </c>
      <c r="V139" t="s">
        <v>143</v>
      </c>
      <c r="W139">
        <v>6</v>
      </c>
      <c r="X139" s="22">
        <v>6</v>
      </c>
      <c r="Y139" s="20">
        <v>155700</v>
      </c>
      <c r="Z139">
        <v>361800</v>
      </c>
      <c r="AA139">
        <v>160200</v>
      </c>
      <c r="AB139" s="22">
        <v>159300</v>
      </c>
      <c r="AC139" s="20">
        <v>-0.39826086956521739</v>
      </c>
      <c r="AD139" s="22">
        <v>2.8169014084507044E-3</v>
      </c>
      <c r="AE139">
        <v>5.3804685880157577E-2</v>
      </c>
      <c r="AF139">
        <v>0.12502591747874767</v>
      </c>
      <c r="AG139">
        <v>0.17883060335890524</v>
      </c>
      <c r="AH139">
        <v>5.5359734605017627E-2</v>
      </c>
      <c r="AI139">
        <v>5.5048724860045611E-2</v>
      </c>
      <c r="AJ139">
        <v>0.11040845946506324</v>
      </c>
      <c r="AM139">
        <f t="shared" si="2"/>
        <v>34.450000000000003</v>
      </c>
    </row>
    <row r="140" spans="1:39">
      <c r="A140" s="20">
        <v>571</v>
      </c>
      <c r="B140" t="s">
        <v>10</v>
      </c>
      <c r="C140" s="22" t="s">
        <v>51</v>
      </c>
      <c r="D140">
        <v>6300</v>
      </c>
      <c r="E140">
        <v>35</v>
      </c>
      <c r="F140" s="43">
        <v>180</v>
      </c>
      <c r="G140">
        <v>420</v>
      </c>
      <c r="H140" s="43">
        <v>8.3333333333333329E-2</v>
      </c>
      <c r="I140" s="20">
        <v>0.88898836199999998</v>
      </c>
      <c r="J140">
        <v>0.84303193099999996</v>
      </c>
      <c r="K140">
        <v>1</v>
      </c>
      <c r="L140">
        <v>0.98925693800000003</v>
      </c>
      <c r="M140">
        <v>0.94330050700000001</v>
      </c>
      <c r="N140">
        <v>0.93166218999999995</v>
      </c>
      <c r="O140">
        <v>0.88898836199999998</v>
      </c>
      <c r="P140">
        <v>0.89018203500000004</v>
      </c>
      <c r="Q140">
        <v>0.88540734099999996</v>
      </c>
      <c r="R140">
        <v>0.86034019699999997</v>
      </c>
      <c r="S140">
        <v>0.85884810499999997</v>
      </c>
      <c r="T140" s="22">
        <v>0.84303193099999996</v>
      </c>
      <c r="U140" s="20" t="s">
        <v>143</v>
      </c>
      <c r="V140" t="s">
        <v>143</v>
      </c>
      <c r="W140">
        <v>4</v>
      </c>
      <c r="X140" s="22">
        <v>3</v>
      </c>
      <c r="Y140" s="20">
        <v>18900</v>
      </c>
      <c r="Z140">
        <v>505800</v>
      </c>
      <c r="AA140">
        <v>0</v>
      </c>
      <c r="AB140" s="22">
        <v>178200</v>
      </c>
      <c r="AC140" s="20">
        <v>-0.92795883361921094</v>
      </c>
      <c r="AD140" s="22">
        <v>-1</v>
      </c>
      <c r="AE140">
        <v>7.1428571428571426E-3</v>
      </c>
      <c r="AF140">
        <v>0.19115646258503402</v>
      </c>
      <c r="AG140">
        <v>0.19829931972789117</v>
      </c>
      <c r="AH140">
        <v>0</v>
      </c>
      <c r="AI140">
        <v>6.7346938775510207E-2</v>
      </c>
      <c r="AJ140">
        <v>6.7346938775510207E-2</v>
      </c>
      <c r="AM140">
        <f t="shared" si="2"/>
        <v>31.5</v>
      </c>
    </row>
    <row r="141" spans="1:39">
      <c r="A141" s="20">
        <v>574</v>
      </c>
      <c r="B141" t="s">
        <v>10</v>
      </c>
      <c r="C141" s="22" t="s">
        <v>53</v>
      </c>
      <c r="D141">
        <v>2390</v>
      </c>
      <c r="E141">
        <v>90</v>
      </c>
      <c r="F141" s="43">
        <v>26.555555555555557</v>
      </c>
      <c r="G141">
        <v>200</v>
      </c>
      <c r="H141" s="43">
        <v>0.45</v>
      </c>
      <c r="I141" s="20">
        <v>0.74117647099999995</v>
      </c>
      <c r="J141">
        <v>0.52705882400000004</v>
      </c>
      <c r="K141">
        <v>1</v>
      </c>
      <c r="L141">
        <v>1.0047058820000001</v>
      </c>
      <c r="M141">
        <v>0.84235294100000002</v>
      </c>
      <c r="N141">
        <v>0.70352941199999997</v>
      </c>
      <c r="O141">
        <v>0.74117647099999995</v>
      </c>
      <c r="P141">
        <v>0.75529411800000001</v>
      </c>
      <c r="Q141">
        <v>0.67294117600000003</v>
      </c>
      <c r="R141">
        <v>0.90117647099999998</v>
      </c>
      <c r="S141">
        <v>0.76705882400000003</v>
      </c>
      <c r="T141" s="22">
        <v>0.52705882400000004</v>
      </c>
      <c r="U141" s="20" t="s">
        <v>142</v>
      </c>
      <c r="V141" t="s">
        <v>142</v>
      </c>
      <c r="W141">
        <v>1</v>
      </c>
      <c r="X141" s="22">
        <v>3</v>
      </c>
      <c r="Y141" s="20">
        <v>77400</v>
      </c>
      <c r="Z141">
        <v>25200</v>
      </c>
      <c r="AA141">
        <v>100800</v>
      </c>
      <c r="AB141" s="22">
        <v>8100</v>
      </c>
      <c r="AC141" s="20">
        <v>0.50877192982456143</v>
      </c>
      <c r="AD141" s="22">
        <v>0.85123966942148765</v>
      </c>
      <c r="AE141">
        <v>0.16192468619246861</v>
      </c>
      <c r="AF141">
        <v>5.2719665271966525E-2</v>
      </c>
      <c r="AG141">
        <v>0.21464435146443514</v>
      </c>
      <c r="AH141">
        <v>0.2108786610878661</v>
      </c>
      <c r="AI141">
        <v>1.6945606694560668E-2</v>
      </c>
      <c r="AJ141">
        <v>0.22782426778242676</v>
      </c>
      <c r="AM141">
        <f t="shared" si="2"/>
        <v>11.95</v>
      </c>
    </row>
    <row r="142" spans="1:39">
      <c r="A142" s="20">
        <v>576</v>
      </c>
      <c r="B142" t="s">
        <v>10</v>
      </c>
      <c r="C142" s="22" t="s">
        <v>54</v>
      </c>
      <c r="D142">
        <v>3955</v>
      </c>
      <c r="E142">
        <v>30</v>
      </c>
      <c r="F142" s="43">
        <v>131.83333333333334</v>
      </c>
      <c r="G142">
        <v>240</v>
      </c>
      <c r="H142" s="43">
        <v>0.125</v>
      </c>
      <c r="I142" s="20">
        <v>0.93095768400000001</v>
      </c>
      <c r="J142">
        <v>0.87305122499999999</v>
      </c>
      <c r="K142">
        <v>1</v>
      </c>
      <c r="L142">
        <v>0.94543429800000001</v>
      </c>
      <c r="M142">
        <v>0.90089086900000004</v>
      </c>
      <c r="N142">
        <v>0.92873051200000001</v>
      </c>
      <c r="O142">
        <v>0.93095768400000001</v>
      </c>
      <c r="P142">
        <v>0.94320712699999998</v>
      </c>
      <c r="Q142">
        <v>0.88084632500000004</v>
      </c>
      <c r="R142">
        <v>0.86859688199999996</v>
      </c>
      <c r="S142">
        <v>0.89755011100000004</v>
      </c>
      <c r="T142" s="22">
        <v>0.87305122499999999</v>
      </c>
      <c r="U142" s="20" t="s">
        <v>144</v>
      </c>
      <c r="V142" t="s">
        <v>142</v>
      </c>
      <c r="W142">
        <v>0</v>
      </c>
      <c r="X142" s="22">
        <v>17</v>
      </c>
      <c r="Y142" s="20">
        <v>0</v>
      </c>
      <c r="Z142">
        <v>0</v>
      </c>
      <c r="AA142">
        <v>117000</v>
      </c>
      <c r="AB142" s="22">
        <v>0</v>
      </c>
      <c r="AC142" s="20" t="s">
        <v>145</v>
      </c>
      <c r="AD142" s="22">
        <v>1</v>
      </c>
      <c r="AE142">
        <v>0</v>
      </c>
      <c r="AF142">
        <v>0</v>
      </c>
      <c r="AG142">
        <v>0</v>
      </c>
      <c r="AH142">
        <v>0.12326169405815424</v>
      </c>
      <c r="AI142">
        <v>0</v>
      </c>
      <c r="AJ142">
        <v>0.12326169405815424</v>
      </c>
      <c r="AM142">
        <f t="shared" si="2"/>
        <v>19.774999999999999</v>
      </c>
    </row>
    <row r="143" spans="1:39">
      <c r="A143" s="20">
        <v>577</v>
      </c>
      <c r="B143" t="s">
        <v>10</v>
      </c>
      <c r="C143" s="22" t="s">
        <v>54</v>
      </c>
      <c r="D143">
        <v>4300</v>
      </c>
      <c r="E143">
        <v>50</v>
      </c>
      <c r="F143" s="43">
        <v>86</v>
      </c>
      <c r="G143">
        <v>240</v>
      </c>
      <c r="H143" s="43">
        <v>0.20833333333333334</v>
      </c>
      <c r="I143" s="20">
        <v>1.0011876479999999</v>
      </c>
      <c r="J143">
        <v>0.97387173400000004</v>
      </c>
      <c r="K143">
        <v>1</v>
      </c>
      <c r="L143">
        <v>0.99881235199999996</v>
      </c>
      <c r="M143">
        <v>0.99287410899999995</v>
      </c>
      <c r="N143">
        <v>0.98218527300000003</v>
      </c>
      <c r="O143">
        <v>1.0011876479999999</v>
      </c>
      <c r="P143">
        <v>0.99643705500000002</v>
      </c>
      <c r="Q143">
        <v>0.99643705500000002</v>
      </c>
      <c r="R143">
        <v>0.98931116399999997</v>
      </c>
      <c r="S143">
        <v>0.99406175799999996</v>
      </c>
      <c r="T143" s="22">
        <v>0.97387173400000004</v>
      </c>
      <c r="U143" s="20" t="s">
        <v>144</v>
      </c>
      <c r="V143" t="s">
        <v>142</v>
      </c>
      <c r="W143">
        <v>0</v>
      </c>
      <c r="X143" s="22">
        <v>12</v>
      </c>
      <c r="Y143" s="20">
        <v>0</v>
      </c>
      <c r="Z143">
        <v>0</v>
      </c>
      <c r="AA143">
        <v>56700</v>
      </c>
      <c r="AB143" s="22">
        <v>0</v>
      </c>
      <c r="AC143" s="20" t="s">
        <v>145</v>
      </c>
      <c r="AD143" s="22">
        <v>1</v>
      </c>
      <c r="AE143">
        <v>0</v>
      </c>
      <c r="AF143">
        <v>0</v>
      </c>
      <c r="AG143">
        <v>0</v>
      </c>
      <c r="AH143">
        <v>5.4941860465116281E-2</v>
      </c>
      <c r="AI143">
        <v>0</v>
      </c>
      <c r="AJ143">
        <v>5.4941860465116281E-2</v>
      </c>
      <c r="AM143">
        <f t="shared" si="2"/>
        <v>21.5</v>
      </c>
    </row>
    <row r="144" spans="1:39">
      <c r="A144" s="20">
        <v>579</v>
      </c>
      <c r="B144" t="s">
        <v>10</v>
      </c>
      <c r="C144" s="22" t="s">
        <v>42</v>
      </c>
      <c r="D144">
        <v>15920</v>
      </c>
      <c r="E144">
        <v>550</v>
      </c>
      <c r="F144" s="43">
        <v>28.945454545454545</v>
      </c>
      <c r="G144">
        <v>900</v>
      </c>
      <c r="H144" s="43">
        <v>0.61111111111111116</v>
      </c>
      <c r="I144" s="20">
        <v>1.0316576180000001</v>
      </c>
      <c r="J144">
        <v>0.90961009699999995</v>
      </c>
      <c r="K144">
        <v>1</v>
      </c>
      <c r="L144">
        <v>1.0940562650000001</v>
      </c>
      <c r="M144">
        <v>0.89423958299999995</v>
      </c>
      <c r="N144">
        <v>1.1058309239999999</v>
      </c>
      <c r="O144">
        <v>1.0316576180000001</v>
      </c>
      <c r="P144">
        <v>0.96206726399999998</v>
      </c>
      <c r="Q144">
        <v>0.82246351299999998</v>
      </c>
      <c r="R144">
        <v>0.92575618699999995</v>
      </c>
      <c r="S144">
        <v>0.83882112399999997</v>
      </c>
      <c r="T144" s="22">
        <v>0.90961009699999995</v>
      </c>
      <c r="U144" s="20" t="s">
        <v>142</v>
      </c>
      <c r="V144" t="s">
        <v>142</v>
      </c>
      <c r="W144">
        <v>5</v>
      </c>
      <c r="X144" s="22">
        <v>24</v>
      </c>
      <c r="Y144" s="20">
        <v>1617300</v>
      </c>
      <c r="Z144">
        <v>38700</v>
      </c>
      <c r="AA144">
        <v>394200</v>
      </c>
      <c r="AB144" s="22">
        <v>0</v>
      </c>
      <c r="AC144" s="20">
        <v>0.95326086956521738</v>
      </c>
      <c r="AD144" s="22">
        <v>1</v>
      </c>
      <c r="AE144">
        <v>0.11287688442211055</v>
      </c>
      <c r="AF144">
        <v>2.701005025125628E-3</v>
      </c>
      <c r="AG144">
        <v>0.11557788944723618</v>
      </c>
      <c r="AH144">
        <v>2.751256281407035E-2</v>
      </c>
      <c r="AI144">
        <v>0</v>
      </c>
      <c r="AJ144">
        <v>2.751256281407035E-2</v>
      </c>
      <c r="AM144">
        <f t="shared" si="2"/>
        <v>79.599999999999994</v>
      </c>
    </row>
    <row r="145" spans="1:39">
      <c r="A145" s="20">
        <v>583</v>
      </c>
      <c r="B145" t="s">
        <v>10</v>
      </c>
      <c r="C145" s="22" t="s">
        <v>55</v>
      </c>
      <c r="D145">
        <v>8755</v>
      </c>
      <c r="E145">
        <v>335</v>
      </c>
      <c r="F145" s="43">
        <v>26.134328358208954</v>
      </c>
      <c r="G145">
        <v>440</v>
      </c>
      <c r="H145" s="43">
        <v>0.76136363636363635</v>
      </c>
      <c r="I145" s="20">
        <v>0.62177589899999997</v>
      </c>
      <c r="J145">
        <v>0.46765327699999998</v>
      </c>
      <c r="K145">
        <v>1</v>
      </c>
      <c r="L145">
        <v>0.821987315</v>
      </c>
      <c r="M145">
        <v>0.59556025400000001</v>
      </c>
      <c r="N145">
        <v>0.55412262199999995</v>
      </c>
      <c r="O145">
        <v>0.62177589899999997</v>
      </c>
      <c r="P145">
        <v>0.558773784</v>
      </c>
      <c r="Q145">
        <v>0.62811839300000005</v>
      </c>
      <c r="R145">
        <v>0.63319238899999997</v>
      </c>
      <c r="S145">
        <v>0.61860465099999995</v>
      </c>
      <c r="T145" s="22">
        <v>0.46765327699999998</v>
      </c>
      <c r="U145" s="20" t="s">
        <v>142</v>
      </c>
      <c r="V145" t="s">
        <v>142</v>
      </c>
      <c r="W145">
        <v>2</v>
      </c>
      <c r="X145" s="22">
        <v>3</v>
      </c>
      <c r="Y145" s="20">
        <v>1037700</v>
      </c>
      <c r="Z145">
        <v>147600</v>
      </c>
      <c r="AA145">
        <v>828900</v>
      </c>
      <c r="AB145" s="22">
        <v>8100</v>
      </c>
      <c r="AC145" s="20">
        <v>0.75094912680334092</v>
      </c>
      <c r="AD145" s="22">
        <v>0.98064516129032253</v>
      </c>
      <c r="AE145">
        <v>0.26937853693993041</v>
      </c>
      <c r="AF145">
        <v>3.8315767613311874E-2</v>
      </c>
      <c r="AG145">
        <v>0.30769430455324231</v>
      </c>
      <c r="AH145">
        <v>0.2151757437308551</v>
      </c>
      <c r="AI145">
        <v>2.1026945641451637E-3</v>
      </c>
      <c r="AJ145">
        <v>0.21727843829500026</v>
      </c>
      <c r="AM145">
        <f t="shared" si="2"/>
        <v>43.774999999999999</v>
      </c>
    </row>
    <row r="146" spans="1:39">
      <c r="A146" s="20">
        <v>588</v>
      </c>
      <c r="B146" t="s">
        <v>10</v>
      </c>
      <c r="C146" s="22" t="s">
        <v>55</v>
      </c>
      <c r="D146">
        <v>4525</v>
      </c>
      <c r="E146">
        <v>150</v>
      </c>
      <c r="F146" s="43">
        <v>30.166666666666668</v>
      </c>
      <c r="G146">
        <v>440</v>
      </c>
      <c r="H146" s="43">
        <v>0.34090909090909088</v>
      </c>
      <c r="I146" s="20">
        <v>0.61587485500000005</v>
      </c>
      <c r="J146">
        <v>0.49362688300000002</v>
      </c>
      <c r="K146">
        <v>1</v>
      </c>
      <c r="L146">
        <v>0.92815758999999998</v>
      </c>
      <c r="M146">
        <v>0.80996523799999998</v>
      </c>
      <c r="N146">
        <v>0.77636152999999997</v>
      </c>
      <c r="O146">
        <v>0.61587485500000005</v>
      </c>
      <c r="P146">
        <v>0.64600231699999999</v>
      </c>
      <c r="Q146">
        <v>0.59849362699999997</v>
      </c>
      <c r="R146">
        <v>0.52665121699999995</v>
      </c>
      <c r="S146">
        <v>0.56662804200000005</v>
      </c>
      <c r="T146" s="22">
        <v>0.49362688300000002</v>
      </c>
      <c r="U146" s="20" t="s">
        <v>143</v>
      </c>
      <c r="V146" t="s">
        <v>143</v>
      </c>
      <c r="W146">
        <v>4</v>
      </c>
      <c r="X146" s="22">
        <v>2</v>
      </c>
      <c r="Y146" s="20">
        <v>180000</v>
      </c>
      <c r="Z146">
        <v>182700</v>
      </c>
      <c r="AA146">
        <v>215100</v>
      </c>
      <c r="AB146" s="22">
        <v>13500</v>
      </c>
      <c r="AC146" s="20">
        <v>-7.4441687344913151E-3</v>
      </c>
      <c r="AD146" s="22">
        <v>0.88188976377952755</v>
      </c>
      <c r="AE146">
        <v>9.0406830738322452E-2</v>
      </c>
      <c r="AF146">
        <v>9.1762933199397281E-2</v>
      </c>
      <c r="AG146">
        <v>0.18216976393771972</v>
      </c>
      <c r="AH146">
        <v>0.10803616273229533</v>
      </c>
      <c r="AI146">
        <v>6.7805123053741841E-3</v>
      </c>
      <c r="AJ146">
        <v>0.11481667503766951</v>
      </c>
      <c r="AM146">
        <f t="shared" si="2"/>
        <v>22.625</v>
      </c>
    </row>
    <row r="147" spans="1:39">
      <c r="A147" s="20">
        <v>589</v>
      </c>
      <c r="B147" t="s">
        <v>10</v>
      </c>
      <c r="C147" s="22" t="s">
        <v>55</v>
      </c>
      <c r="D147">
        <v>4900</v>
      </c>
      <c r="E147">
        <v>270</v>
      </c>
      <c r="F147" s="43">
        <v>18.148148148148149</v>
      </c>
      <c r="G147">
        <v>440</v>
      </c>
      <c r="H147" s="43">
        <v>0.61363636363636365</v>
      </c>
      <c r="I147" s="20">
        <v>0.79764599400000002</v>
      </c>
      <c r="J147">
        <v>0.70937075599999999</v>
      </c>
      <c r="K147">
        <v>1</v>
      </c>
      <c r="L147">
        <v>0.86645541000000004</v>
      </c>
      <c r="M147">
        <v>0.82118605700000002</v>
      </c>
      <c r="N147">
        <v>0.86962426400000004</v>
      </c>
      <c r="O147">
        <v>0.79764599400000002</v>
      </c>
      <c r="P147">
        <v>0.81032141199999996</v>
      </c>
      <c r="Q147">
        <v>0.83431416899999999</v>
      </c>
      <c r="R147">
        <v>0.82752376599999999</v>
      </c>
      <c r="S147">
        <v>0.70755998200000003</v>
      </c>
      <c r="T147" s="22">
        <v>0.70937075599999999</v>
      </c>
      <c r="U147" s="20" t="s">
        <v>143</v>
      </c>
      <c r="V147" t="s">
        <v>143</v>
      </c>
      <c r="W147">
        <v>2</v>
      </c>
      <c r="X147" s="22">
        <v>4</v>
      </c>
      <c r="Y147" s="20">
        <v>66600</v>
      </c>
      <c r="Z147">
        <v>185400</v>
      </c>
      <c r="AA147">
        <v>202500</v>
      </c>
      <c r="AB147" s="22">
        <v>149400</v>
      </c>
      <c r="AC147" s="20">
        <v>-0.47142857142857142</v>
      </c>
      <c r="AD147" s="22">
        <v>0.15089514066496162</v>
      </c>
      <c r="AE147">
        <v>3.0890538033395178E-2</v>
      </c>
      <c r="AF147">
        <v>8.599257884972171E-2</v>
      </c>
      <c r="AG147">
        <v>0.11688311688311689</v>
      </c>
      <c r="AH147">
        <v>9.3923933209647495E-2</v>
      </c>
      <c r="AI147">
        <v>6.9294990723562155E-2</v>
      </c>
      <c r="AJ147">
        <v>0.16321892393320964</v>
      </c>
      <c r="AM147">
        <f t="shared" si="2"/>
        <v>24.5</v>
      </c>
    </row>
    <row r="148" spans="1:39">
      <c r="A148" s="20">
        <v>590</v>
      </c>
      <c r="B148" t="s">
        <v>12</v>
      </c>
      <c r="C148" s="22" t="s">
        <v>55</v>
      </c>
      <c r="D148">
        <v>4775</v>
      </c>
      <c r="E148">
        <v>550</v>
      </c>
      <c r="F148" s="43">
        <v>8.6818181818181817</v>
      </c>
      <c r="G148">
        <v>420</v>
      </c>
      <c r="H148" s="43">
        <v>1.3095238095238095</v>
      </c>
      <c r="I148" s="20">
        <v>0.41773102899999998</v>
      </c>
      <c r="K148">
        <v>1</v>
      </c>
      <c r="L148">
        <v>0.492111195</v>
      </c>
      <c r="M148">
        <v>0.43200601100000002</v>
      </c>
      <c r="N148">
        <v>0.43050338100000002</v>
      </c>
      <c r="O148">
        <v>0.41773102899999998</v>
      </c>
      <c r="P148">
        <v>0.41472576999999999</v>
      </c>
      <c r="Q148">
        <v>0.37265214099999999</v>
      </c>
      <c r="R148">
        <v>0.36664162300000003</v>
      </c>
      <c r="T148" s="22"/>
      <c r="U148" s="20" t="s">
        <v>143</v>
      </c>
      <c r="V148" t="s">
        <v>142</v>
      </c>
      <c r="W148">
        <v>2</v>
      </c>
      <c r="X148" s="22">
        <v>4</v>
      </c>
      <c r="Y148" s="20">
        <v>927900</v>
      </c>
      <c r="Z148">
        <v>272700</v>
      </c>
      <c r="AA148">
        <v>408600</v>
      </c>
      <c r="AB148" s="22">
        <v>0</v>
      </c>
      <c r="AC148" s="20">
        <v>0.54572713643178405</v>
      </c>
      <c r="AD148" s="22">
        <v>1</v>
      </c>
      <c r="AE148">
        <v>0.46267763649962601</v>
      </c>
      <c r="AF148">
        <v>0.13597606581899777</v>
      </c>
      <c r="AG148">
        <v>0.5986537023186238</v>
      </c>
      <c r="AH148">
        <v>0.20373971578160061</v>
      </c>
      <c r="AI148">
        <v>0</v>
      </c>
      <c r="AJ148">
        <v>0.20373971578160061</v>
      </c>
      <c r="AM148">
        <f t="shared" si="2"/>
        <v>23.875</v>
      </c>
    </row>
    <row r="149" spans="1:39">
      <c r="A149" s="20">
        <v>606</v>
      </c>
      <c r="B149" t="s">
        <v>10</v>
      </c>
      <c r="C149" s="22" t="s">
        <v>40</v>
      </c>
      <c r="D149">
        <v>6235</v>
      </c>
      <c r="E149">
        <v>60</v>
      </c>
      <c r="F149" s="43">
        <v>103.91666666666667</v>
      </c>
      <c r="G149">
        <v>200</v>
      </c>
      <c r="H149" s="43">
        <v>0.3</v>
      </c>
      <c r="I149" s="20">
        <v>0.74664679599999995</v>
      </c>
      <c r="J149">
        <v>0.60655737700000001</v>
      </c>
      <c r="K149">
        <v>1</v>
      </c>
      <c r="L149">
        <v>0.69150521600000003</v>
      </c>
      <c r="M149">
        <v>0.76974664699999995</v>
      </c>
      <c r="N149">
        <v>0.58718330799999996</v>
      </c>
      <c r="O149">
        <v>0.74664679599999995</v>
      </c>
      <c r="P149">
        <v>0.63710879300000001</v>
      </c>
      <c r="Q149">
        <v>0.704172876</v>
      </c>
      <c r="R149">
        <v>0.52235469400000001</v>
      </c>
      <c r="S149">
        <v>0.567064083</v>
      </c>
      <c r="T149" s="22">
        <v>0.60655737700000001</v>
      </c>
      <c r="U149" s="20" t="s">
        <v>143</v>
      </c>
      <c r="V149" t="s">
        <v>142</v>
      </c>
      <c r="W149">
        <v>3</v>
      </c>
      <c r="X149" s="22">
        <v>1</v>
      </c>
      <c r="Y149" s="20">
        <v>214200</v>
      </c>
      <c r="Z149">
        <v>57600</v>
      </c>
      <c r="AA149">
        <v>213300</v>
      </c>
      <c r="AB149" s="22">
        <v>4500</v>
      </c>
      <c r="AC149" s="20">
        <v>0.57615894039735094</v>
      </c>
      <c r="AD149" s="22">
        <v>0.95867768595041325</v>
      </c>
      <c r="AE149">
        <v>0.17177225340817964</v>
      </c>
      <c r="AF149">
        <v>4.6190858059342421E-2</v>
      </c>
      <c r="AG149">
        <v>0.21796311146752206</v>
      </c>
      <c r="AH149">
        <v>0.1710505212510024</v>
      </c>
      <c r="AI149">
        <v>3.6086607858861267E-3</v>
      </c>
      <c r="AJ149">
        <v>0.17465918203688852</v>
      </c>
      <c r="AM149">
        <f t="shared" si="2"/>
        <v>31.175000000000001</v>
      </c>
    </row>
    <row r="150" spans="1:39">
      <c r="A150" s="20">
        <v>607</v>
      </c>
      <c r="B150" t="s">
        <v>10</v>
      </c>
      <c r="C150" s="22" t="s">
        <v>40</v>
      </c>
      <c r="D150">
        <v>3195</v>
      </c>
      <c r="E150">
        <v>65</v>
      </c>
      <c r="F150" s="43">
        <v>49.153846153846153</v>
      </c>
      <c r="G150">
        <v>200</v>
      </c>
      <c r="H150" s="43">
        <v>0.32500000000000001</v>
      </c>
      <c r="I150" s="20">
        <v>0.71291866000000004</v>
      </c>
      <c r="J150">
        <v>0.71929824600000003</v>
      </c>
      <c r="K150">
        <v>1</v>
      </c>
      <c r="L150">
        <v>0.79106858099999999</v>
      </c>
      <c r="M150">
        <v>0.67623604500000001</v>
      </c>
      <c r="N150">
        <v>0.62679425799999999</v>
      </c>
      <c r="O150">
        <v>0.71291866000000004</v>
      </c>
      <c r="P150">
        <v>0.60446571000000004</v>
      </c>
      <c r="Q150">
        <v>0.71132376399999997</v>
      </c>
      <c r="R150">
        <v>0.70972886800000001</v>
      </c>
      <c r="S150">
        <v>0.61562998400000002</v>
      </c>
      <c r="T150" s="22">
        <v>0.71929824600000003</v>
      </c>
      <c r="U150" s="20" t="s">
        <v>143</v>
      </c>
      <c r="V150" t="s">
        <v>146</v>
      </c>
      <c r="W150">
        <v>2</v>
      </c>
      <c r="X150" s="22">
        <v>1</v>
      </c>
      <c r="Y150" s="20">
        <v>43200</v>
      </c>
      <c r="Z150">
        <v>33300</v>
      </c>
      <c r="AA150">
        <v>69300</v>
      </c>
      <c r="AB150" s="22">
        <v>21600</v>
      </c>
      <c r="AC150" s="20">
        <v>0.12941176470588237</v>
      </c>
      <c r="AD150" s="22">
        <v>0.52475247524752477</v>
      </c>
      <c r="AE150">
        <v>6.7605633802816895E-2</v>
      </c>
      <c r="AF150">
        <v>5.2112676056338028E-2</v>
      </c>
      <c r="AG150">
        <v>0.11971830985915492</v>
      </c>
      <c r="AH150">
        <v>0.10845070422535211</v>
      </c>
      <c r="AI150">
        <v>3.3802816901408447E-2</v>
      </c>
      <c r="AJ150">
        <v>0.14225352112676054</v>
      </c>
      <c r="AM150">
        <f t="shared" si="2"/>
        <v>15.975</v>
      </c>
    </row>
    <row r="151" spans="1:39">
      <c r="A151" s="20">
        <v>608</v>
      </c>
      <c r="B151" t="s">
        <v>10</v>
      </c>
      <c r="C151" s="22" t="s">
        <v>40</v>
      </c>
      <c r="D151">
        <v>4100</v>
      </c>
      <c r="E151">
        <v>175</v>
      </c>
      <c r="F151" s="43">
        <v>23.428571428571427</v>
      </c>
      <c r="G151">
        <v>200</v>
      </c>
      <c r="H151" s="43">
        <v>0.875</v>
      </c>
      <c r="I151" s="20">
        <v>0.77159763299999995</v>
      </c>
      <c r="J151">
        <v>0.56331360900000005</v>
      </c>
      <c r="K151">
        <v>1</v>
      </c>
      <c r="L151">
        <v>0.89349112399999997</v>
      </c>
      <c r="M151">
        <v>0.61893491099999998</v>
      </c>
      <c r="N151">
        <v>0.91597633099999998</v>
      </c>
      <c r="O151">
        <v>0.77159763299999995</v>
      </c>
      <c r="P151">
        <v>0.45562130200000001</v>
      </c>
      <c r="Q151">
        <v>0.68165680500000003</v>
      </c>
      <c r="R151">
        <v>0.40710059199999998</v>
      </c>
      <c r="S151">
        <v>0.59763313600000001</v>
      </c>
      <c r="T151" s="22">
        <v>0.56331360900000005</v>
      </c>
      <c r="U151" s="20" t="s">
        <v>142</v>
      </c>
      <c r="V151" t="s">
        <v>142</v>
      </c>
      <c r="W151">
        <v>5</v>
      </c>
      <c r="X151" s="22">
        <v>2</v>
      </c>
      <c r="Y151" s="20">
        <v>249300</v>
      </c>
      <c r="Z151">
        <v>24300</v>
      </c>
      <c r="AA151">
        <v>228600</v>
      </c>
      <c r="AB151" s="22">
        <v>0</v>
      </c>
      <c r="AC151" s="20">
        <v>0.82236842105263153</v>
      </c>
      <c r="AD151" s="22">
        <v>1</v>
      </c>
      <c r="AE151">
        <v>0.30402439024390243</v>
      </c>
      <c r="AF151">
        <v>2.9634146341463413E-2</v>
      </c>
      <c r="AG151">
        <v>0.33365853658536582</v>
      </c>
      <c r="AH151">
        <v>0.27878048780487807</v>
      </c>
      <c r="AI151">
        <v>0</v>
      </c>
      <c r="AJ151">
        <v>0.27878048780487807</v>
      </c>
      <c r="AM151">
        <f t="shared" si="2"/>
        <v>20.5</v>
      </c>
    </row>
    <row r="152" spans="1:39">
      <c r="A152" s="20">
        <v>609</v>
      </c>
      <c r="B152" t="s">
        <v>10</v>
      </c>
      <c r="C152" s="22" t="s">
        <v>40</v>
      </c>
      <c r="D152">
        <v>3990</v>
      </c>
      <c r="E152">
        <v>95</v>
      </c>
      <c r="F152" s="43">
        <v>42</v>
      </c>
      <c r="G152">
        <v>200</v>
      </c>
      <c r="H152" s="43">
        <v>0.47499999999999998</v>
      </c>
      <c r="I152" s="20">
        <v>0.68446601900000004</v>
      </c>
      <c r="J152">
        <v>0.53559870600000004</v>
      </c>
      <c r="K152">
        <v>1</v>
      </c>
      <c r="L152">
        <v>0.61165048499999997</v>
      </c>
      <c r="M152">
        <v>0.53074433700000001</v>
      </c>
      <c r="N152">
        <v>0.52427184500000001</v>
      </c>
      <c r="O152">
        <v>0.68446601900000004</v>
      </c>
      <c r="P152">
        <v>0.76051779900000005</v>
      </c>
      <c r="Q152">
        <v>0.66343042100000005</v>
      </c>
      <c r="R152">
        <v>0.83171521000000004</v>
      </c>
      <c r="S152">
        <v>0.794498382</v>
      </c>
      <c r="T152" s="22">
        <v>0.53559870600000004</v>
      </c>
      <c r="U152" s="20" t="s">
        <v>143</v>
      </c>
      <c r="V152" t="s">
        <v>142</v>
      </c>
      <c r="W152">
        <v>3</v>
      </c>
      <c r="X152" s="22">
        <v>1</v>
      </c>
      <c r="Y152" s="20">
        <v>192600</v>
      </c>
      <c r="Z152">
        <v>27900</v>
      </c>
      <c r="AA152">
        <v>90900</v>
      </c>
      <c r="AB152" s="22">
        <v>0</v>
      </c>
      <c r="AC152" s="20">
        <v>0.74693877551020404</v>
      </c>
      <c r="AD152" s="22">
        <v>1</v>
      </c>
      <c r="AE152">
        <v>0.24135338345864663</v>
      </c>
      <c r="AF152">
        <v>3.4962406015037591E-2</v>
      </c>
      <c r="AG152">
        <v>0.27631578947368424</v>
      </c>
      <c r="AH152">
        <v>0.11390977443609022</v>
      </c>
      <c r="AI152">
        <v>0</v>
      </c>
      <c r="AJ152">
        <v>0.11390977443609022</v>
      </c>
      <c r="AM152">
        <f t="shared" si="2"/>
        <v>19.95</v>
      </c>
    </row>
    <row r="153" spans="1:39">
      <c r="A153" s="20">
        <v>610</v>
      </c>
      <c r="B153" t="s">
        <v>10</v>
      </c>
      <c r="C153" s="22" t="s">
        <v>40</v>
      </c>
      <c r="D153">
        <v>3490</v>
      </c>
      <c r="E153">
        <v>60</v>
      </c>
      <c r="F153" s="43">
        <v>58.166666666666664</v>
      </c>
      <c r="G153">
        <v>200</v>
      </c>
      <c r="H153" s="43">
        <v>0.3</v>
      </c>
      <c r="I153" s="20">
        <v>0.63093414999999997</v>
      </c>
      <c r="J153">
        <v>0.77641653899999996</v>
      </c>
      <c r="K153">
        <v>1</v>
      </c>
      <c r="L153">
        <v>0.92189892799999995</v>
      </c>
      <c r="M153">
        <v>0.90352220500000002</v>
      </c>
      <c r="N153">
        <v>0.76722817799999998</v>
      </c>
      <c r="O153">
        <v>0.63093414999999997</v>
      </c>
      <c r="P153">
        <v>0.76722817799999998</v>
      </c>
      <c r="Q153">
        <v>0.72281776399999997</v>
      </c>
      <c r="R153">
        <v>0.76416539100000003</v>
      </c>
      <c r="S153">
        <v>0.784073507</v>
      </c>
      <c r="T153" s="22">
        <v>0.77641653899999996</v>
      </c>
      <c r="U153" s="20" t="s">
        <v>143</v>
      </c>
      <c r="V153" t="s">
        <v>142</v>
      </c>
      <c r="W153">
        <v>4</v>
      </c>
      <c r="X153" s="22">
        <v>3</v>
      </c>
      <c r="Y153" s="20">
        <v>101700</v>
      </c>
      <c r="Z153">
        <v>54900</v>
      </c>
      <c r="AA153">
        <v>133200</v>
      </c>
      <c r="AB153" s="22">
        <v>0</v>
      </c>
      <c r="AC153" s="20">
        <v>0.2988505747126437</v>
      </c>
      <c r="AD153" s="22">
        <v>1</v>
      </c>
      <c r="AE153">
        <v>0.14570200573065903</v>
      </c>
      <c r="AF153">
        <v>7.8653295128939829E-2</v>
      </c>
      <c r="AG153">
        <v>0.22435530085959887</v>
      </c>
      <c r="AH153">
        <v>0.19083094555873925</v>
      </c>
      <c r="AI153">
        <v>0</v>
      </c>
      <c r="AJ153">
        <v>0.19083094555873925</v>
      </c>
      <c r="AM153">
        <f t="shared" si="2"/>
        <v>17.45</v>
      </c>
    </row>
    <row r="154" spans="1:39">
      <c r="A154" s="20">
        <v>611</v>
      </c>
      <c r="B154" t="s">
        <v>10</v>
      </c>
      <c r="C154" s="22" t="s">
        <v>40</v>
      </c>
      <c r="D154">
        <v>1420</v>
      </c>
      <c r="E154">
        <v>120</v>
      </c>
      <c r="F154" s="43">
        <v>11.833333333333334</v>
      </c>
      <c r="G154">
        <v>200</v>
      </c>
      <c r="H154" s="43">
        <v>0.6</v>
      </c>
      <c r="I154" s="20">
        <v>0.445783133</v>
      </c>
      <c r="J154">
        <v>0.38795180699999998</v>
      </c>
      <c r="K154">
        <v>1</v>
      </c>
      <c r="L154">
        <v>0.84096385500000004</v>
      </c>
      <c r="M154">
        <v>0.445783133</v>
      </c>
      <c r="N154">
        <v>0.50361445800000004</v>
      </c>
      <c r="O154">
        <v>0.445783133</v>
      </c>
      <c r="P154">
        <v>0.44096385500000002</v>
      </c>
      <c r="Q154">
        <v>0.50602409599999998</v>
      </c>
      <c r="R154">
        <v>0.26746987999999999</v>
      </c>
      <c r="S154">
        <v>0.38313253000000003</v>
      </c>
      <c r="T154" s="22">
        <v>0.38795180699999998</v>
      </c>
      <c r="U154" s="20" t="s">
        <v>142</v>
      </c>
      <c r="V154" t="s">
        <v>142</v>
      </c>
      <c r="W154">
        <v>2</v>
      </c>
      <c r="X154" s="22">
        <v>2</v>
      </c>
      <c r="Y154" s="20">
        <v>65700</v>
      </c>
      <c r="Z154">
        <v>38700</v>
      </c>
      <c r="AA154">
        <v>102600</v>
      </c>
      <c r="AB154" s="22">
        <v>2700</v>
      </c>
      <c r="AC154" s="20">
        <v>0.25862068965517243</v>
      </c>
      <c r="AD154" s="22">
        <v>0.94871794871794868</v>
      </c>
      <c r="AE154">
        <v>0.23133802816901408</v>
      </c>
      <c r="AF154">
        <v>0.13626760563380283</v>
      </c>
      <c r="AG154">
        <v>0.36760563380281691</v>
      </c>
      <c r="AH154">
        <v>0.36126760563380284</v>
      </c>
      <c r="AI154">
        <v>9.5070422535211262E-3</v>
      </c>
      <c r="AJ154">
        <v>0.37077464788732395</v>
      </c>
      <c r="AM154">
        <f t="shared" si="2"/>
        <v>7.1</v>
      </c>
    </row>
    <row r="155" spans="1:39">
      <c r="A155" s="20">
        <v>612</v>
      </c>
      <c r="B155" t="s">
        <v>10</v>
      </c>
      <c r="C155" s="22" t="s">
        <v>40</v>
      </c>
      <c r="D155">
        <v>4330</v>
      </c>
      <c r="E155">
        <v>55</v>
      </c>
      <c r="F155" s="43">
        <v>78.727272727272734</v>
      </c>
      <c r="G155">
        <v>200</v>
      </c>
      <c r="H155" s="43">
        <v>0.27500000000000002</v>
      </c>
      <c r="I155" s="20">
        <v>0.64375000000000004</v>
      </c>
      <c r="J155">
        <v>0.56874999999999998</v>
      </c>
      <c r="K155">
        <v>1</v>
      </c>
      <c r="L155">
        <v>0.73124999999999996</v>
      </c>
      <c r="M155">
        <v>0.75937500000000002</v>
      </c>
      <c r="N155">
        <v>0.65781250000000002</v>
      </c>
      <c r="O155">
        <v>0.64375000000000004</v>
      </c>
      <c r="P155">
        <v>0.56093749999999998</v>
      </c>
      <c r="Q155">
        <v>0.56406250000000002</v>
      </c>
      <c r="R155">
        <v>0.52968749999999998</v>
      </c>
      <c r="S155">
        <v>0.56874999999999998</v>
      </c>
      <c r="T155" s="22">
        <v>0.56874999999999998</v>
      </c>
      <c r="U155" s="20" t="s">
        <v>142</v>
      </c>
      <c r="V155" t="s">
        <v>142</v>
      </c>
      <c r="W155">
        <v>3</v>
      </c>
      <c r="X155" s="22">
        <v>2</v>
      </c>
      <c r="Y155" s="20">
        <v>102600</v>
      </c>
      <c r="Z155">
        <v>56700</v>
      </c>
      <c r="AA155">
        <v>215100</v>
      </c>
      <c r="AB155" s="22">
        <v>900</v>
      </c>
      <c r="AC155" s="20">
        <v>0.28813559322033899</v>
      </c>
      <c r="AD155" s="22">
        <v>0.9916666666666667</v>
      </c>
      <c r="AE155">
        <v>0.1184757505773672</v>
      </c>
      <c r="AF155">
        <v>6.5473441108545041E-2</v>
      </c>
      <c r="AG155">
        <v>0.18394919168591223</v>
      </c>
      <c r="AH155">
        <v>0.24838337182448036</v>
      </c>
      <c r="AI155">
        <v>1.0392609699769054E-3</v>
      </c>
      <c r="AJ155">
        <v>0.24942263279445728</v>
      </c>
      <c r="AM155">
        <f t="shared" si="2"/>
        <v>21.65</v>
      </c>
    </row>
    <row r="156" spans="1:39">
      <c r="A156" s="20">
        <v>613</v>
      </c>
      <c r="B156" t="s">
        <v>10</v>
      </c>
      <c r="C156" s="22" t="s">
        <v>40</v>
      </c>
      <c r="D156">
        <v>1415</v>
      </c>
      <c r="E156">
        <v>140</v>
      </c>
      <c r="F156" s="43">
        <v>10.107142857142858</v>
      </c>
      <c r="G156">
        <v>200</v>
      </c>
      <c r="H156" s="43">
        <v>0.7</v>
      </c>
      <c r="I156" s="20">
        <v>0.759183673</v>
      </c>
      <c r="J156">
        <v>0.84489795899999998</v>
      </c>
      <c r="K156">
        <v>1</v>
      </c>
      <c r="L156">
        <v>0.84897959199999995</v>
      </c>
      <c r="M156">
        <v>0.88979591800000002</v>
      </c>
      <c r="N156">
        <v>0.77142857099999995</v>
      </c>
      <c r="O156">
        <v>0.759183673</v>
      </c>
      <c r="P156">
        <v>0.86938775499999998</v>
      </c>
      <c r="Q156">
        <v>0.83265306100000003</v>
      </c>
      <c r="R156">
        <v>0.84489795899999998</v>
      </c>
      <c r="S156">
        <v>0.86530612200000001</v>
      </c>
      <c r="T156" s="22">
        <v>0.84489795899999998</v>
      </c>
      <c r="U156" s="20" t="s">
        <v>143</v>
      </c>
      <c r="V156" t="s">
        <v>143</v>
      </c>
      <c r="W156">
        <v>3</v>
      </c>
      <c r="X156" s="22">
        <v>2</v>
      </c>
      <c r="Y156" s="20">
        <v>900</v>
      </c>
      <c r="Z156">
        <v>61200</v>
      </c>
      <c r="AA156">
        <v>36000</v>
      </c>
      <c r="AB156" s="22">
        <v>22500</v>
      </c>
      <c r="AC156" s="20">
        <v>-0.97101449275362317</v>
      </c>
      <c r="AD156" s="22">
        <v>0.23076923076923078</v>
      </c>
      <c r="AE156">
        <v>3.1802120141342758E-3</v>
      </c>
      <c r="AF156">
        <v>0.21625441696113074</v>
      </c>
      <c r="AG156">
        <v>0.219434628975265</v>
      </c>
      <c r="AH156">
        <v>0.12720848056537101</v>
      </c>
      <c r="AI156">
        <v>7.9505300353356886E-2</v>
      </c>
      <c r="AJ156">
        <v>0.20671378091872789</v>
      </c>
      <c r="AM156">
        <f t="shared" si="2"/>
        <v>7.0750000000000002</v>
      </c>
    </row>
    <row r="157" spans="1:39">
      <c r="A157" s="20">
        <v>614</v>
      </c>
      <c r="B157" t="s">
        <v>10</v>
      </c>
      <c r="C157" s="22" t="s">
        <v>40</v>
      </c>
      <c r="D157">
        <v>1620</v>
      </c>
      <c r="E157">
        <v>60</v>
      </c>
      <c r="F157" s="43">
        <v>27</v>
      </c>
      <c r="G157">
        <v>200</v>
      </c>
      <c r="H157" s="43">
        <v>0.3</v>
      </c>
      <c r="I157" s="20">
        <v>0.5</v>
      </c>
      <c r="J157">
        <v>0.445833333</v>
      </c>
      <c r="K157">
        <v>1</v>
      </c>
      <c r="L157">
        <v>0.28125</v>
      </c>
      <c r="M157">
        <v>0.42291666700000002</v>
      </c>
      <c r="N157">
        <v>0.42708333300000001</v>
      </c>
      <c r="O157">
        <v>0.5</v>
      </c>
      <c r="P157">
        <v>0.491666667</v>
      </c>
      <c r="Q157">
        <v>0.491666667</v>
      </c>
      <c r="R157">
        <v>0.45416666700000002</v>
      </c>
      <c r="S157">
        <v>0.47291666700000001</v>
      </c>
      <c r="T157" s="22">
        <v>0.445833333</v>
      </c>
      <c r="U157" s="20" t="s">
        <v>142</v>
      </c>
      <c r="V157" t="s">
        <v>142</v>
      </c>
      <c r="W157">
        <v>1</v>
      </c>
      <c r="X157" s="22">
        <v>1</v>
      </c>
      <c r="Y157" s="20">
        <v>97200</v>
      </c>
      <c r="Z157">
        <v>21600</v>
      </c>
      <c r="AA157">
        <v>179100</v>
      </c>
      <c r="AB157" s="22">
        <v>900</v>
      </c>
      <c r="AC157" s="20">
        <v>0.63636363636363635</v>
      </c>
      <c r="AD157" s="22">
        <v>0.99</v>
      </c>
      <c r="AE157">
        <v>0.3</v>
      </c>
      <c r="AF157">
        <v>6.6666666666666666E-2</v>
      </c>
      <c r="AG157">
        <v>0.36666666666666664</v>
      </c>
      <c r="AH157">
        <v>0.55277777777777781</v>
      </c>
      <c r="AI157">
        <v>2.7777777777777779E-3</v>
      </c>
      <c r="AJ157">
        <v>0.55555555555555558</v>
      </c>
      <c r="AM157">
        <f t="shared" si="2"/>
        <v>8.1</v>
      </c>
    </row>
    <row r="158" spans="1:39">
      <c r="A158" s="20">
        <v>615</v>
      </c>
      <c r="B158" t="s">
        <v>10</v>
      </c>
      <c r="C158" s="22" t="s">
        <v>40</v>
      </c>
      <c r="D158">
        <v>3560</v>
      </c>
      <c r="E158">
        <v>55</v>
      </c>
      <c r="F158" s="43">
        <v>64.727272727272734</v>
      </c>
      <c r="G158">
        <v>200</v>
      </c>
      <c r="H158" s="43">
        <v>0.27500000000000002</v>
      </c>
      <c r="I158" s="20">
        <v>0.88314176200000005</v>
      </c>
      <c r="J158">
        <v>0.890804598</v>
      </c>
      <c r="K158">
        <v>1</v>
      </c>
      <c r="L158">
        <v>0.86206896600000005</v>
      </c>
      <c r="M158">
        <v>0.95977011499999998</v>
      </c>
      <c r="N158">
        <v>0.79693486599999996</v>
      </c>
      <c r="O158">
        <v>0.88314176200000005</v>
      </c>
      <c r="P158">
        <v>0.81609195400000001</v>
      </c>
      <c r="Q158">
        <v>1.1168582380000001</v>
      </c>
      <c r="R158">
        <v>1.1264367820000001</v>
      </c>
      <c r="S158">
        <v>0.90613026799999996</v>
      </c>
      <c r="T158" s="22">
        <v>0.890804598</v>
      </c>
      <c r="U158" s="20" t="s">
        <v>143</v>
      </c>
      <c r="V158" t="s">
        <v>142</v>
      </c>
      <c r="W158">
        <v>5</v>
      </c>
      <c r="X158" s="22">
        <v>2</v>
      </c>
      <c r="Y158" s="20">
        <v>61200</v>
      </c>
      <c r="Z158">
        <v>52200</v>
      </c>
      <c r="AA158">
        <v>140400</v>
      </c>
      <c r="AB158" s="22">
        <v>3600</v>
      </c>
      <c r="AC158" s="20">
        <v>7.9365079365079361E-2</v>
      </c>
      <c r="AD158" s="22">
        <v>0.95</v>
      </c>
      <c r="AE158">
        <v>8.595505617977528E-2</v>
      </c>
      <c r="AF158">
        <v>7.331460674157303E-2</v>
      </c>
      <c r="AG158">
        <v>0.15926966292134831</v>
      </c>
      <c r="AH158">
        <v>0.19719101123595506</v>
      </c>
      <c r="AI158">
        <v>5.0561797752808986E-3</v>
      </c>
      <c r="AJ158">
        <v>0.20224719101123595</v>
      </c>
      <c r="AM158">
        <f t="shared" si="2"/>
        <v>17.8</v>
      </c>
    </row>
    <row r="159" spans="1:39">
      <c r="A159" s="20">
        <v>616</v>
      </c>
      <c r="B159" t="s">
        <v>10</v>
      </c>
      <c r="C159" s="22" t="s">
        <v>40</v>
      </c>
      <c r="D159">
        <v>3840</v>
      </c>
      <c r="E159">
        <v>60</v>
      </c>
      <c r="F159" s="43">
        <v>64</v>
      </c>
      <c r="G159">
        <v>200</v>
      </c>
      <c r="H159" s="43">
        <v>0.3</v>
      </c>
      <c r="I159" s="20">
        <v>0.50617283999999996</v>
      </c>
      <c r="J159">
        <v>0.59807956100000004</v>
      </c>
      <c r="K159">
        <v>1</v>
      </c>
      <c r="L159">
        <v>0.94513031599999997</v>
      </c>
      <c r="M159">
        <v>0.50617283999999996</v>
      </c>
      <c r="N159">
        <v>0.592592593</v>
      </c>
      <c r="O159">
        <v>0.50617283999999996</v>
      </c>
      <c r="P159">
        <v>0.66941015100000001</v>
      </c>
      <c r="Q159">
        <v>0.65294924600000004</v>
      </c>
      <c r="R159">
        <v>0.53086419799999995</v>
      </c>
      <c r="S159">
        <v>0.537722908</v>
      </c>
      <c r="T159" s="22">
        <v>0.59807956100000004</v>
      </c>
      <c r="U159" s="20" t="s">
        <v>143</v>
      </c>
      <c r="V159" t="s">
        <v>142</v>
      </c>
      <c r="W159">
        <v>3</v>
      </c>
      <c r="X159" s="22">
        <v>3</v>
      </c>
      <c r="Y159" s="20">
        <v>213300</v>
      </c>
      <c r="Z159">
        <v>61200</v>
      </c>
      <c r="AA159">
        <v>202500</v>
      </c>
      <c r="AB159" s="22">
        <v>0</v>
      </c>
      <c r="AC159" s="20">
        <v>0.5540983606557377</v>
      </c>
      <c r="AD159" s="22">
        <v>1</v>
      </c>
      <c r="AE159">
        <v>0.27773437499999998</v>
      </c>
      <c r="AF159">
        <v>7.9687499999999994E-2</v>
      </c>
      <c r="AG159">
        <v>0.357421875</v>
      </c>
      <c r="AH159">
        <v>0.263671875</v>
      </c>
      <c r="AI159">
        <v>0</v>
      </c>
      <c r="AJ159">
        <v>0.263671875</v>
      </c>
      <c r="AM159">
        <f t="shared" si="2"/>
        <v>19.2</v>
      </c>
    </row>
    <row r="160" spans="1:39">
      <c r="A160" s="20">
        <v>617</v>
      </c>
      <c r="B160" t="s">
        <v>12</v>
      </c>
      <c r="C160" s="22" t="s">
        <v>40</v>
      </c>
      <c r="D160">
        <v>3610</v>
      </c>
      <c r="E160">
        <v>235</v>
      </c>
      <c r="F160" s="43">
        <v>15.361702127659575</v>
      </c>
      <c r="G160">
        <v>200</v>
      </c>
      <c r="H160" s="43">
        <v>1.175</v>
      </c>
      <c r="I160" s="20">
        <v>0.696428571</v>
      </c>
      <c r="J160">
        <v>0.80059523799999999</v>
      </c>
      <c r="K160">
        <v>1</v>
      </c>
      <c r="L160">
        <v>0.61160714299999996</v>
      </c>
      <c r="M160">
        <v>0.80654761900000005</v>
      </c>
      <c r="N160">
        <v>0.63988095199999995</v>
      </c>
      <c r="O160">
        <v>0.696428571</v>
      </c>
      <c r="P160">
        <v>0.64880952400000003</v>
      </c>
      <c r="Q160">
        <v>0.54613095199999995</v>
      </c>
      <c r="R160">
        <v>0.241071429</v>
      </c>
      <c r="S160">
        <v>0.15625</v>
      </c>
      <c r="T160" s="22">
        <v>0.80059523799999999</v>
      </c>
      <c r="U160" s="20" t="s">
        <v>142</v>
      </c>
      <c r="V160" t="s">
        <v>142</v>
      </c>
      <c r="W160">
        <v>1</v>
      </c>
      <c r="X160" s="22">
        <v>1</v>
      </c>
      <c r="Y160" s="20">
        <v>177300</v>
      </c>
      <c r="Z160">
        <v>0</v>
      </c>
      <c r="AA160">
        <v>106200</v>
      </c>
      <c r="AB160" s="22">
        <v>0</v>
      </c>
      <c r="AC160" s="20">
        <v>1</v>
      </c>
      <c r="AD160" s="22">
        <v>1</v>
      </c>
      <c r="AE160">
        <v>0.24556786703601108</v>
      </c>
      <c r="AF160">
        <v>0</v>
      </c>
      <c r="AG160">
        <v>0.24556786703601108</v>
      </c>
      <c r="AH160">
        <v>0.14709141274238227</v>
      </c>
      <c r="AI160">
        <v>0</v>
      </c>
      <c r="AJ160">
        <v>0.14709141274238227</v>
      </c>
      <c r="AM160">
        <f t="shared" si="2"/>
        <v>18.05</v>
      </c>
    </row>
    <row r="161" spans="1:39">
      <c r="A161" s="20">
        <v>619</v>
      </c>
      <c r="B161" t="s">
        <v>10</v>
      </c>
      <c r="C161" s="22" t="s">
        <v>40</v>
      </c>
      <c r="D161">
        <v>3180</v>
      </c>
      <c r="E161">
        <v>45</v>
      </c>
      <c r="F161" s="43">
        <v>70.666666666666671</v>
      </c>
      <c r="G161">
        <v>200</v>
      </c>
      <c r="H161" s="43">
        <v>0.22500000000000001</v>
      </c>
      <c r="I161" s="20">
        <v>0.52824427500000004</v>
      </c>
      <c r="J161">
        <v>0.70229007600000004</v>
      </c>
      <c r="K161">
        <v>1</v>
      </c>
      <c r="L161">
        <v>0.79847328200000001</v>
      </c>
      <c r="M161">
        <v>0.65190839700000003</v>
      </c>
      <c r="N161">
        <v>0.81374045800000006</v>
      </c>
      <c r="O161">
        <v>0.52824427500000004</v>
      </c>
      <c r="P161">
        <v>0.52213740500000005</v>
      </c>
      <c r="Q161">
        <v>0.58473282400000004</v>
      </c>
      <c r="R161">
        <v>0.461068702</v>
      </c>
      <c r="S161">
        <v>0.61221373999999995</v>
      </c>
      <c r="T161" s="22">
        <v>0.70229007600000004</v>
      </c>
      <c r="U161" s="20" t="s">
        <v>143</v>
      </c>
      <c r="V161" t="s">
        <v>142</v>
      </c>
      <c r="W161">
        <v>4</v>
      </c>
      <c r="X161" s="22">
        <v>1</v>
      </c>
      <c r="Y161" s="20">
        <v>13500</v>
      </c>
      <c r="Z161">
        <v>99000</v>
      </c>
      <c r="AA161">
        <v>102600</v>
      </c>
      <c r="AB161" s="22">
        <v>0</v>
      </c>
      <c r="AC161" s="20">
        <v>-0.76</v>
      </c>
      <c r="AD161" s="22">
        <v>1</v>
      </c>
      <c r="AE161">
        <v>2.1226415094339621E-2</v>
      </c>
      <c r="AF161">
        <v>0.15566037735849056</v>
      </c>
      <c r="AG161">
        <v>0.17688679245283018</v>
      </c>
      <c r="AH161">
        <v>0.16132075471698112</v>
      </c>
      <c r="AI161">
        <v>0</v>
      </c>
      <c r="AJ161">
        <v>0.16132075471698112</v>
      </c>
      <c r="AM161">
        <f t="shared" si="2"/>
        <v>15.9</v>
      </c>
    </row>
    <row r="162" spans="1:39">
      <c r="A162" s="20">
        <v>620</v>
      </c>
      <c r="B162" t="s">
        <v>12</v>
      </c>
      <c r="C162" s="22" t="s">
        <v>40</v>
      </c>
      <c r="D162">
        <v>11470</v>
      </c>
      <c r="E162">
        <v>265</v>
      </c>
      <c r="F162" s="43">
        <v>43.283018867924525</v>
      </c>
      <c r="G162">
        <v>200</v>
      </c>
      <c r="H162" s="43">
        <v>1.325</v>
      </c>
      <c r="I162" s="20">
        <v>0.492256637</v>
      </c>
      <c r="J162">
        <v>0.50387168100000002</v>
      </c>
      <c r="K162">
        <v>1</v>
      </c>
      <c r="L162">
        <v>0.92146017700000005</v>
      </c>
      <c r="M162">
        <v>0.63384955799999998</v>
      </c>
      <c r="N162">
        <v>0.60176991199999996</v>
      </c>
      <c r="O162">
        <v>0.492256637</v>
      </c>
      <c r="P162">
        <v>0.36615044200000002</v>
      </c>
      <c r="Q162">
        <v>0.771570796</v>
      </c>
      <c r="R162">
        <v>0.438053097</v>
      </c>
      <c r="S162">
        <v>0.50608407099999997</v>
      </c>
      <c r="T162" s="22">
        <v>0.50387168100000002</v>
      </c>
      <c r="U162" s="20" t="s">
        <v>142</v>
      </c>
      <c r="V162" t="s">
        <v>142</v>
      </c>
      <c r="W162">
        <v>3</v>
      </c>
      <c r="X162" s="22">
        <v>5</v>
      </c>
      <c r="Y162" s="20">
        <v>737100</v>
      </c>
      <c r="Z162">
        <v>10800</v>
      </c>
      <c r="AA162">
        <v>382500</v>
      </c>
      <c r="AB162" s="22">
        <v>0</v>
      </c>
      <c r="AC162" s="20">
        <v>0.97111913357400725</v>
      </c>
      <c r="AD162" s="22">
        <v>1</v>
      </c>
      <c r="AE162">
        <v>0.32131647776809069</v>
      </c>
      <c r="AF162">
        <v>4.7079337401918046E-3</v>
      </c>
      <c r="AG162">
        <v>0.32602441150828249</v>
      </c>
      <c r="AH162">
        <v>0.16673931996512642</v>
      </c>
      <c r="AI162">
        <v>0</v>
      </c>
      <c r="AJ162">
        <v>0.16673931996512642</v>
      </c>
      <c r="AM162">
        <f t="shared" si="2"/>
        <v>57.35</v>
      </c>
    </row>
    <row r="163" spans="1:39">
      <c r="A163" s="20">
        <v>621</v>
      </c>
      <c r="B163" t="s">
        <v>10</v>
      </c>
      <c r="C163" s="22" t="s">
        <v>40</v>
      </c>
      <c r="D163">
        <v>4415</v>
      </c>
      <c r="E163">
        <v>40</v>
      </c>
      <c r="F163" s="43">
        <v>110.375</v>
      </c>
      <c r="G163">
        <v>200</v>
      </c>
      <c r="H163" s="43">
        <v>0.2</v>
      </c>
      <c r="I163" s="20">
        <v>0.74761255100000001</v>
      </c>
      <c r="J163">
        <v>0.78990450199999995</v>
      </c>
      <c r="K163">
        <v>1</v>
      </c>
      <c r="L163">
        <v>0.88813096899999999</v>
      </c>
      <c r="M163">
        <v>0.697135061</v>
      </c>
      <c r="N163">
        <v>0.67939972699999995</v>
      </c>
      <c r="O163">
        <v>0.74761255100000001</v>
      </c>
      <c r="P163">
        <v>0.67530695799999996</v>
      </c>
      <c r="Q163">
        <v>0.68622101000000002</v>
      </c>
      <c r="R163">
        <v>0.67667121399999997</v>
      </c>
      <c r="S163">
        <v>0.78854024599999994</v>
      </c>
      <c r="T163" s="22">
        <v>0.78990450199999995</v>
      </c>
      <c r="U163" s="20" t="s">
        <v>143</v>
      </c>
      <c r="V163" t="s">
        <v>142</v>
      </c>
      <c r="W163">
        <v>6</v>
      </c>
      <c r="X163" s="22">
        <v>3</v>
      </c>
      <c r="Y163" s="20">
        <v>89100</v>
      </c>
      <c r="Z163">
        <v>53100</v>
      </c>
      <c r="AA163">
        <v>199800</v>
      </c>
      <c r="AB163" s="22">
        <v>0</v>
      </c>
      <c r="AC163" s="20">
        <v>0.25316455696202533</v>
      </c>
      <c r="AD163" s="22">
        <v>1</v>
      </c>
      <c r="AE163">
        <v>0.10090600226500566</v>
      </c>
      <c r="AF163">
        <v>6.0135900339750852E-2</v>
      </c>
      <c r="AG163">
        <v>0.16104190260475651</v>
      </c>
      <c r="AH163">
        <v>0.2262740656851642</v>
      </c>
      <c r="AI163">
        <v>0</v>
      </c>
      <c r="AJ163">
        <v>0.2262740656851642</v>
      </c>
      <c r="AM163">
        <f t="shared" si="2"/>
        <v>22.074999999999999</v>
      </c>
    </row>
    <row r="164" spans="1:39">
      <c r="A164" s="20">
        <v>628</v>
      </c>
      <c r="B164" t="s">
        <v>10</v>
      </c>
      <c r="C164" s="22" t="s">
        <v>56</v>
      </c>
      <c r="D164">
        <v>4755</v>
      </c>
      <c r="E164">
        <v>65</v>
      </c>
      <c r="F164" s="43">
        <v>73.15384615384616</v>
      </c>
      <c r="G164">
        <v>200</v>
      </c>
      <c r="H164" s="43">
        <v>0.32500000000000001</v>
      </c>
      <c r="I164" s="20">
        <v>0.97630799599999996</v>
      </c>
      <c r="J164">
        <v>0.95459032600000004</v>
      </c>
      <c r="K164">
        <v>1</v>
      </c>
      <c r="L164">
        <v>1.0779861799999999</v>
      </c>
      <c r="M164">
        <v>1.0740375120000001</v>
      </c>
      <c r="N164">
        <v>1.014807502</v>
      </c>
      <c r="O164">
        <v>0.97630799599999996</v>
      </c>
      <c r="P164">
        <v>1.011846002</v>
      </c>
      <c r="Q164">
        <v>0.97038499499999997</v>
      </c>
      <c r="R164">
        <v>0.97828232999999998</v>
      </c>
      <c r="S164">
        <v>0.99901283299999999</v>
      </c>
      <c r="T164" s="22">
        <v>0.95459032600000004</v>
      </c>
      <c r="U164" s="20" t="s">
        <v>143</v>
      </c>
      <c r="V164" t="s">
        <v>142</v>
      </c>
      <c r="W164">
        <v>9</v>
      </c>
      <c r="X164" s="22">
        <v>9</v>
      </c>
      <c r="Y164" s="20">
        <v>3600</v>
      </c>
      <c r="Z164">
        <v>46800</v>
      </c>
      <c r="AA164">
        <v>32400</v>
      </c>
      <c r="AB164" s="22">
        <v>3600</v>
      </c>
      <c r="AC164" s="20">
        <v>-0.8571428571428571</v>
      </c>
      <c r="AD164" s="22">
        <v>0.8</v>
      </c>
      <c r="AE164">
        <v>3.7854889589905363E-3</v>
      </c>
      <c r="AF164">
        <v>4.9211356466876972E-2</v>
      </c>
      <c r="AG164">
        <v>5.2996845425867509E-2</v>
      </c>
      <c r="AH164">
        <v>3.4069400630914827E-2</v>
      </c>
      <c r="AI164">
        <v>3.7854889589905363E-3</v>
      </c>
      <c r="AJ164">
        <v>3.7854889589905363E-2</v>
      </c>
      <c r="AM164">
        <f t="shared" si="2"/>
        <v>23.774999999999999</v>
      </c>
    </row>
    <row r="165" spans="1:39">
      <c r="A165" s="20">
        <v>631</v>
      </c>
      <c r="B165" t="s">
        <v>10</v>
      </c>
      <c r="C165" s="22" t="s">
        <v>57</v>
      </c>
      <c r="D165">
        <v>9340</v>
      </c>
      <c r="E165">
        <v>50</v>
      </c>
      <c r="F165" s="43">
        <v>186.8</v>
      </c>
      <c r="G165">
        <v>200</v>
      </c>
      <c r="H165" s="43">
        <v>0.25</v>
      </c>
      <c r="I165" s="20">
        <v>1.0037593979999999</v>
      </c>
      <c r="J165">
        <v>0.98764769100000005</v>
      </c>
      <c r="K165">
        <v>1</v>
      </c>
      <c r="L165">
        <v>1.012352309</v>
      </c>
      <c r="M165">
        <v>0.99731471500000002</v>
      </c>
      <c r="N165">
        <v>1.0069817400000001</v>
      </c>
      <c r="O165">
        <v>1.0037593979999999</v>
      </c>
      <c r="P165">
        <v>1.008592911</v>
      </c>
      <c r="Q165">
        <v>0.97636949500000003</v>
      </c>
      <c r="R165">
        <v>0.98281417800000004</v>
      </c>
      <c r="S165">
        <v>0.96509129999999999</v>
      </c>
      <c r="T165" s="22">
        <v>0.98764769100000005</v>
      </c>
      <c r="U165" s="20" t="s">
        <v>142</v>
      </c>
      <c r="V165" t="s">
        <v>142</v>
      </c>
      <c r="W165">
        <v>10</v>
      </c>
      <c r="X165" s="22">
        <v>12</v>
      </c>
      <c r="Y165" s="20">
        <v>17100</v>
      </c>
      <c r="Z165">
        <v>10800</v>
      </c>
      <c r="AA165">
        <v>43200</v>
      </c>
      <c r="AB165" s="22">
        <v>0</v>
      </c>
      <c r="AC165" s="20">
        <v>0.22580645161290322</v>
      </c>
      <c r="AD165" s="22">
        <v>1</v>
      </c>
      <c r="AE165">
        <v>9.1541755888650961E-3</v>
      </c>
      <c r="AF165">
        <v>5.7815845824411138E-3</v>
      </c>
      <c r="AG165">
        <v>1.493576017130621E-2</v>
      </c>
      <c r="AH165">
        <v>2.3126338329764455E-2</v>
      </c>
      <c r="AI165">
        <v>0</v>
      </c>
      <c r="AJ165">
        <v>2.3126338329764455E-2</v>
      </c>
      <c r="AM165">
        <f t="shared" si="2"/>
        <v>46.7</v>
      </c>
    </row>
    <row r="166" spans="1:39">
      <c r="A166" s="20">
        <v>633</v>
      </c>
      <c r="B166" t="s">
        <v>10</v>
      </c>
      <c r="C166" s="22" t="s">
        <v>57</v>
      </c>
      <c r="D166">
        <v>4085</v>
      </c>
      <c r="E166">
        <v>55</v>
      </c>
      <c r="F166" s="43">
        <v>74.272727272727266</v>
      </c>
      <c r="G166">
        <v>200</v>
      </c>
      <c r="H166" s="43">
        <v>0.27500000000000002</v>
      </c>
      <c r="I166" s="20">
        <v>0.98753894099999995</v>
      </c>
      <c r="J166">
        <v>0.92107995799999998</v>
      </c>
      <c r="K166">
        <v>1</v>
      </c>
      <c r="L166">
        <v>0.99896157799999996</v>
      </c>
      <c r="M166">
        <v>0.99065420599999998</v>
      </c>
      <c r="N166">
        <v>1.0166147459999999</v>
      </c>
      <c r="O166">
        <v>0.98753894099999995</v>
      </c>
      <c r="P166">
        <v>0.99688473499999997</v>
      </c>
      <c r="Q166">
        <v>0.98338525399999999</v>
      </c>
      <c r="R166">
        <v>0.956386293</v>
      </c>
      <c r="S166">
        <v>0.95223260600000004</v>
      </c>
      <c r="T166" s="22">
        <v>0.92107995799999998</v>
      </c>
      <c r="U166" s="20" t="s">
        <v>144</v>
      </c>
      <c r="V166" t="s">
        <v>142</v>
      </c>
      <c r="X166" s="22">
        <v>11</v>
      </c>
      <c r="Y166" s="20">
        <v>0</v>
      </c>
      <c r="Z166">
        <v>0</v>
      </c>
      <c r="AA166">
        <v>229500</v>
      </c>
      <c r="AB166" s="22">
        <v>0</v>
      </c>
      <c r="AC166" s="20" t="s">
        <v>145</v>
      </c>
      <c r="AD166" s="22">
        <v>1</v>
      </c>
      <c r="AE166">
        <v>0</v>
      </c>
      <c r="AF166">
        <v>0</v>
      </c>
      <c r="AG166">
        <v>0</v>
      </c>
      <c r="AH166">
        <v>0.28090575275397794</v>
      </c>
      <c r="AI166">
        <v>0</v>
      </c>
      <c r="AJ166">
        <v>0.28090575275397794</v>
      </c>
      <c r="AM166">
        <f t="shared" si="2"/>
        <v>20.425000000000001</v>
      </c>
    </row>
    <row r="167" spans="1:39">
      <c r="A167" s="20">
        <v>635</v>
      </c>
      <c r="B167" t="s">
        <v>10</v>
      </c>
      <c r="C167" s="22" t="s">
        <v>57</v>
      </c>
      <c r="D167">
        <v>8455</v>
      </c>
      <c r="E167">
        <v>150</v>
      </c>
      <c r="F167" s="43">
        <v>56.366666666666667</v>
      </c>
      <c r="G167">
        <v>200</v>
      </c>
      <c r="H167" s="43">
        <v>0.75</v>
      </c>
      <c r="I167" s="20">
        <v>0.98801198800000001</v>
      </c>
      <c r="K167">
        <v>1</v>
      </c>
      <c r="L167">
        <v>0.99750249800000002</v>
      </c>
      <c r="M167">
        <v>0.99950050000000001</v>
      </c>
      <c r="N167">
        <v>0.98551448600000002</v>
      </c>
      <c r="O167">
        <v>0.98801198800000001</v>
      </c>
      <c r="P167">
        <v>0.92407592400000005</v>
      </c>
      <c r="Q167">
        <v>0.932567433</v>
      </c>
      <c r="R167">
        <v>0.91208791199999995</v>
      </c>
      <c r="T167" s="22"/>
      <c r="U167" s="20" t="s">
        <v>142</v>
      </c>
      <c r="V167">
        <v>0</v>
      </c>
      <c r="W167">
        <v>8</v>
      </c>
      <c r="X167" s="22">
        <v>0</v>
      </c>
      <c r="Y167" s="20">
        <v>216000</v>
      </c>
      <c r="Z167">
        <v>8100</v>
      </c>
      <c r="AA167">
        <v>0</v>
      </c>
      <c r="AB167" s="22">
        <v>0</v>
      </c>
      <c r="AC167" s="20">
        <v>0.92771084337349397</v>
      </c>
      <c r="AD167" s="22" t="s">
        <v>145</v>
      </c>
      <c r="AE167">
        <v>0.12773506800709639</v>
      </c>
      <c r="AF167">
        <v>4.7900650502661147E-3</v>
      </c>
      <c r="AG167">
        <v>0.13252513305736249</v>
      </c>
      <c r="AH167">
        <v>0</v>
      </c>
      <c r="AI167">
        <v>0</v>
      </c>
      <c r="AJ167">
        <v>0</v>
      </c>
      <c r="AM167">
        <f t="shared" si="2"/>
        <v>42.274999999999999</v>
      </c>
    </row>
    <row r="168" spans="1:39">
      <c r="A168" s="20">
        <v>636</v>
      </c>
      <c r="B168" t="s">
        <v>10</v>
      </c>
      <c r="C168" s="22" t="s">
        <v>57</v>
      </c>
      <c r="D168">
        <v>4460</v>
      </c>
      <c r="E168">
        <v>60</v>
      </c>
      <c r="F168" s="43">
        <v>74.333333333333329</v>
      </c>
      <c r="G168">
        <v>200</v>
      </c>
      <c r="H168" s="43">
        <v>0.3</v>
      </c>
      <c r="I168" s="20">
        <v>0.98839285700000001</v>
      </c>
      <c r="J168">
        <v>0.915178571</v>
      </c>
      <c r="K168">
        <v>1</v>
      </c>
      <c r="L168">
        <v>0.99910714300000003</v>
      </c>
      <c r="M168">
        <v>0.97321428600000004</v>
      </c>
      <c r="N168">
        <v>1.0160714289999999</v>
      </c>
      <c r="O168">
        <v>0.98839285700000001</v>
      </c>
      <c r="P168">
        <v>0.97321428600000004</v>
      </c>
      <c r="Q168">
        <v>0.98482142900000003</v>
      </c>
      <c r="R168">
        <v>0.93303571399999996</v>
      </c>
      <c r="S168">
        <v>0.92589285700000001</v>
      </c>
      <c r="T168" s="22">
        <v>0.915178571</v>
      </c>
      <c r="U168" s="20" t="s">
        <v>144</v>
      </c>
      <c r="V168" t="s">
        <v>142</v>
      </c>
      <c r="X168" s="22">
        <v>12</v>
      </c>
      <c r="Y168" s="20">
        <v>0</v>
      </c>
      <c r="Z168">
        <v>0</v>
      </c>
      <c r="AA168">
        <v>63900</v>
      </c>
      <c r="AB168" s="22">
        <v>0</v>
      </c>
      <c r="AC168" s="20" t="s">
        <v>145</v>
      </c>
      <c r="AD168" s="22">
        <v>1</v>
      </c>
      <c r="AE168">
        <v>0</v>
      </c>
      <c r="AF168">
        <v>0</v>
      </c>
      <c r="AG168">
        <v>0</v>
      </c>
      <c r="AH168">
        <v>7.1636771300448432E-2</v>
      </c>
      <c r="AI168">
        <v>0</v>
      </c>
      <c r="AJ168">
        <v>7.1636771300448432E-2</v>
      </c>
      <c r="AM168">
        <f t="shared" si="2"/>
        <v>22.3</v>
      </c>
    </row>
    <row r="169" spans="1:39">
      <c r="A169" s="20">
        <v>640</v>
      </c>
      <c r="B169" t="s">
        <v>10</v>
      </c>
      <c r="C169" s="22" t="s">
        <v>57</v>
      </c>
      <c r="D169">
        <v>4445</v>
      </c>
      <c r="E169">
        <v>50</v>
      </c>
      <c r="F169" s="43">
        <v>88.9</v>
      </c>
      <c r="G169">
        <v>200</v>
      </c>
      <c r="H169" s="43">
        <v>0.25</v>
      </c>
      <c r="I169" s="20">
        <v>0.97794117599999997</v>
      </c>
      <c r="J169">
        <v>0.96638655500000004</v>
      </c>
      <c r="K169">
        <v>1</v>
      </c>
      <c r="L169">
        <v>1.00210084</v>
      </c>
      <c r="M169">
        <v>0.99684873900000004</v>
      </c>
      <c r="N169">
        <v>1.0084033610000001</v>
      </c>
      <c r="O169">
        <v>0.97794117599999997</v>
      </c>
      <c r="P169">
        <v>0.99054621799999998</v>
      </c>
      <c r="Q169">
        <v>0.97899159700000005</v>
      </c>
      <c r="R169">
        <v>0.97268907599999999</v>
      </c>
      <c r="S169">
        <v>0.98634453799999999</v>
      </c>
      <c r="T169" s="22">
        <v>0.96638655500000004</v>
      </c>
      <c r="U169" s="20" t="s">
        <v>143</v>
      </c>
      <c r="V169" t="s">
        <v>142</v>
      </c>
      <c r="W169">
        <v>23</v>
      </c>
      <c r="X169" s="22">
        <v>18</v>
      </c>
      <c r="Y169" s="20">
        <v>38700</v>
      </c>
      <c r="Z169">
        <v>57600</v>
      </c>
      <c r="AA169">
        <v>75600</v>
      </c>
      <c r="AB169" s="22">
        <v>0</v>
      </c>
      <c r="AC169" s="20">
        <v>-0.19626168224299065</v>
      </c>
      <c r="AD169" s="22">
        <v>1</v>
      </c>
      <c r="AE169">
        <v>4.3532058492688416E-2</v>
      </c>
      <c r="AF169">
        <v>6.4791901012373448E-2</v>
      </c>
      <c r="AG169">
        <v>0.10832395950506186</v>
      </c>
      <c r="AH169">
        <v>8.5039370078740156E-2</v>
      </c>
      <c r="AI169">
        <v>0</v>
      </c>
      <c r="AJ169">
        <v>8.5039370078740156E-2</v>
      </c>
      <c r="AM169">
        <f t="shared" si="2"/>
        <v>22.225000000000001</v>
      </c>
    </row>
    <row r="170" spans="1:39">
      <c r="A170" s="20">
        <v>708</v>
      </c>
      <c r="B170" t="s">
        <v>10</v>
      </c>
      <c r="C170" s="22" t="s">
        <v>58</v>
      </c>
      <c r="D170">
        <v>4900</v>
      </c>
      <c r="E170">
        <v>60</v>
      </c>
      <c r="F170" s="43">
        <v>81.666666666666671</v>
      </c>
      <c r="G170">
        <v>400</v>
      </c>
      <c r="H170" s="43">
        <v>0.15</v>
      </c>
      <c r="I170" s="20">
        <v>0.78509249199999998</v>
      </c>
      <c r="J170">
        <v>0.84004352599999998</v>
      </c>
      <c r="K170">
        <v>1</v>
      </c>
      <c r="L170">
        <v>0.99510337299999996</v>
      </c>
      <c r="M170">
        <v>0.93797606099999997</v>
      </c>
      <c r="N170">
        <v>0.91022850899999996</v>
      </c>
      <c r="O170">
        <v>0.78509249199999998</v>
      </c>
      <c r="P170">
        <v>0.81828073999999995</v>
      </c>
      <c r="Q170">
        <v>0.75571273100000003</v>
      </c>
      <c r="R170">
        <v>0.84276387399999997</v>
      </c>
      <c r="S170">
        <v>0.80576713799999999</v>
      </c>
      <c r="T170" s="22">
        <v>0.84004352599999998</v>
      </c>
      <c r="U170" s="20" t="s">
        <v>143</v>
      </c>
      <c r="V170" t="s">
        <v>143</v>
      </c>
      <c r="W170">
        <v>11</v>
      </c>
      <c r="X170" s="22">
        <v>11</v>
      </c>
      <c r="Y170" s="20">
        <v>194400</v>
      </c>
      <c r="Z170">
        <v>147600</v>
      </c>
      <c r="AA170">
        <v>137700</v>
      </c>
      <c r="AB170" s="22">
        <v>228600</v>
      </c>
      <c r="AC170" s="20">
        <v>0.1368421052631579</v>
      </c>
      <c r="AD170" s="22">
        <v>-0.24815724815724816</v>
      </c>
      <c r="AE170">
        <v>9.9183673469387751E-2</v>
      </c>
      <c r="AF170">
        <v>7.5306122448979593E-2</v>
      </c>
      <c r="AG170">
        <v>0.17448979591836733</v>
      </c>
      <c r="AH170">
        <v>7.0255102040816322E-2</v>
      </c>
      <c r="AI170">
        <v>0.11663265306122449</v>
      </c>
      <c r="AJ170">
        <v>0.18688775510204081</v>
      </c>
      <c r="AM170">
        <f t="shared" si="2"/>
        <v>24.5</v>
      </c>
    </row>
    <row r="171" spans="1:39">
      <c r="A171" s="20">
        <v>709</v>
      </c>
      <c r="B171" t="s">
        <v>10</v>
      </c>
      <c r="C171" s="22" t="s">
        <v>58</v>
      </c>
      <c r="D171">
        <v>12470</v>
      </c>
      <c r="E171">
        <v>175</v>
      </c>
      <c r="F171" s="43">
        <v>71.257142857142853</v>
      </c>
      <c r="G171">
        <v>400</v>
      </c>
      <c r="H171" s="43">
        <v>0.4375</v>
      </c>
      <c r="I171" s="20">
        <v>0.99143346700000001</v>
      </c>
      <c r="J171">
        <v>0.88749286100000002</v>
      </c>
      <c r="K171">
        <v>1</v>
      </c>
      <c r="L171">
        <v>0.91528650300000003</v>
      </c>
      <c r="M171">
        <v>1.0135160860000001</v>
      </c>
      <c r="N171">
        <v>0.98343803500000004</v>
      </c>
      <c r="O171">
        <v>0.99143346700000001</v>
      </c>
      <c r="P171">
        <v>0.96744717300000005</v>
      </c>
      <c r="Q171">
        <v>0.95278888299999998</v>
      </c>
      <c r="R171">
        <v>0.93603655100000005</v>
      </c>
      <c r="S171">
        <v>0.96668570300000001</v>
      </c>
      <c r="T171" s="22">
        <v>0.88749286100000002</v>
      </c>
      <c r="U171" s="20" t="s">
        <v>143</v>
      </c>
      <c r="V171" t="s">
        <v>143</v>
      </c>
      <c r="W171">
        <v>5</v>
      </c>
      <c r="X171" s="22">
        <v>12</v>
      </c>
      <c r="Y171" s="20">
        <v>219600</v>
      </c>
      <c r="Z171">
        <v>164700</v>
      </c>
      <c r="AA171">
        <v>184500</v>
      </c>
      <c r="AB171" s="22">
        <v>141300</v>
      </c>
      <c r="AC171" s="20">
        <v>0.14285714285714285</v>
      </c>
      <c r="AD171" s="22">
        <v>0.13259668508287292</v>
      </c>
      <c r="AE171">
        <v>4.4025661587810745E-2</v>
      </c>
      <c r="AF171">
        <v>3.3019246190858061E-2</v>
      </c>
      <c r="AG171">
        <v>7.7044907778668806E-2</v>
      </c>
      <c r="AH171">
        <v>3.6988773055332796E-2</v>
      </c>
      <c r="AI171">
        <v>2.8327987169206096E-2</v>
      </c>
      <c r="AJ171">
        <v>6.5316760224538889E-2</v>
      </c>
      <c r="AM171">
        <f t="shared" si="2"/>
        <v>62.35</v>
      </c>
    </row>
    <row r="172" spans="1:39">
      <c r="A172" s="20">
        <v>710</v>
      </c>
      <c r="B172" t="s">
        <v>10</v>
      </c>
      <c r="C172" s="22" t="s">
        <v>58</v>
      </c>
      <c r="D172">
        <v>4780</v>
      </c>
      <c r="E172">
        <v>80</v>
      </c>
      <c r="F172" s="43">
        <v>59.75</v>
      </c>
      <c r="G172">
        <v>460</v>
      </c>
      <c r="H172" s="43">
        <v>0.17391304347826086</v>
      </c>
      <c r="I172" s="20">
        <v>0.93456032700000002</v>
      </c>
      <c r="J172">
        <v>0.895705521</v>
      </c>
      <c r="K172">
        <v>1</v>
      </c>
      <c r="L172">
        <v>0.96676891600000003</v>
      </c>
      <c r="M172">
        <v>0.974437628</v>
      </c>
      <c r="N172">
        <v>0.96472392600000001</v>
      </c>
      <c r="O172">
        <v>0.93456032700000002</v>
      </c>
      <c r="P172">
        <v>0.90593047000000004</v>
      </c>
      <c r="Q172">
        <v>0.91564417200000003</v>
      </c>
      <c r="R172">
        <v>0.87678936600000001</v>
      </c>
      <c r="S172">
        <v>0.86145194300000005</v>
      </c>
      <c r="T172" s="22">
        <v>0.895705521</v>
      </c>
      <c r="U172" s="20" t="s">
        <v>144</v>
      </c>
      <c r="V172" t="s">
        <v>144</v>
      </c>
      <c r="X172" s="22"/>
      <c r="Y172" s="20">
        <v>0</v>
      </c>
      <c r="Z172">
        <v>0</v>
      </c>
      <c r="AA172">
        <v>0</v>
      </c>
      <c r="AB172" s="22">
        <v>0</v>
      </c>
      <c r="AC172" s="20" t="s">
        <v>145</v>
      </c>
      <c r="AD172" s="22" t="s">
        <v>145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M172">
        <f t="shared" si="2"/>
        <v>23.9</v>
      </c>
    </row>
    <row r="173" spans="1:39">
      <c r="A173" s="20">
        <v>711</v>
      </c>
      <c r="B173" t="s">
        <v>10</v>
      </c>
      <c r="C173" s="22" t="s">
        <v>58</v>
      </c>
      <c r="D173">
        <v>12520</v>
      </c>
      <c r="E173">
        <v>480</v>
      </c>
      <c r="F173" s="43">
        <v>26.083333333333332</v>
      </c>
      <c r="G173">
        <v>460</v>
      </c>
      <c r="H173" s="43">
        <v>1.0434782608695652</v>
      </c>
      <c r="I173" s="20">
        <v>0.80268199200000001</v>
      </c>
      <c r="J173">
        <v>0.75165447600000002</v>
      </c>
      <c r="K173">
        <v>1</v>
      </c>
      <c r="L173">
        <v>0.97196098900000005</v>
      </c>
      <c r="M173">
        <v>0.90003483100000004</v>
      </c>
      <c r="N173">
        <v>0.86398467400000001</v>
      </c>
      <c r="O173">
        <v>0.80268199200000001</v>
      </c>
      <c r="P173">
        <v>0.72396377599999995</v>
      </c>
      <c r="Q173">
        <v>0.84952978099999998</v>
      </c>
      <c r="R173">
        <v>0.774468826</v>
      </c>
      <c r="S173">
        <v>0.81208638099999997</v>
      </c>
      <c r="T173" s="22">
        <v>0.75165447600000002</v>
      </c>
      <c r="U173" s="20" t="s">
        <v>142</v>
      </c>
      <c r="V173" t="s">
        <v>144</v>
      </c>
      <c r="W173">
        <v>7</v>
      </c>
      <c r="X173" s="22"/>
      <c r="Y173" s="20">
        <v>1113300</v>
      </c>
      <c r="Z173">
        <v>97200</v>
      </c>
      <c r="AA173">
        <v>0</v>
      </c>
      <c r="AB173" s="22">
        <v>0</v>
      </c>
      <c r="AC173" s="20">
        <v>0.83940520446096656</v>
      </c>
      <c r="AD173" s="22" t="s">
        <v>145</v>
      </c>
      <c r="AE173">
        <v>0.19330809834699264</v>
      </c>
      <c r="AF173">
        <v>1.6877344075566052E-2</v>
      </c>
      <c r="AG173">
        <v>0.21018544242255868</v>
      </c>
      <c r="AH173">
        <v>0</v>
      </c>
      <c r="AI173">
        <v>0</v>
      </c>
      <c r="AJ173">
        <v>0</v>
      </c>
      <c r="AM173">
        <f t="shared" si="2"/>
        <v>62.6</v>
      </c>
    </row>
    <row r="174" spans="1:39">
      <c r="A174" s="20">
        <v>712</v>
      </c>
      <c r="B174" t="s">
        <v>10</v>
      </c>
      <c r="C174" s="22" t="s">
        <v>58</v>
      </c>
      <c r="D174">
        <v>6480</v>
      </c>
      <c r="E174">
        <v>105</v>
      </c>
      <c r="F174" s="43">
        <v>61.714285714285715</v>
      </c>
      <c r="G174">
        <v>500</v>
      </c>
      <c r="H174" s="43">
        <v>0.21</v>
      </c>
      <c r="I174" s="20">
        <v>0.98893805300000004</v>
      </c>
      <c r="J174">
        <v>0.91519174000000003</v>
      </c>
      <c r="K174">
        <v>1</v>
      </c>
      <c r="L174">
        <v>1.0250737459999999</v>
      </c>
      <c r="M174">
        <v>1.022861357</v>
      </c>
      <c r="N174">
        <v>0.976032448</v>
      </c>
      <c r="O174">
        <v>0.98893805300000004</v>
      </c>
      <c r="P174">
        <v>0.99004424800000002</v>
      </c>
      <c r="Q174">
        <v>0.91887905599999997</v>
      </c>
      <c r="R174">
        <v>0.95980825999999997</v>
      </c>
      <c r="S174">
        <v>0.924778761</v>
      </c>
      <c r="T174" s="22">
        <v>0.91519174000000003</v>
      </c>
      <c r="U174" s="20" t="s">
        <v>143</v>
      </c>
      <c r="V174" t="s">
        <v>143</v>
      </c>
      <c r="W174">
        <v>19</v>
      </c>
      <c r="X174" s="22">
        <v>13</v>
      </c>
      <c r="Y174" s="20">
        <v>156600</v>
      </c>
      <c r="Z174">
        <v>191700</v>
      </c>
      <c r="AA174">
        <v>369900</v>
      </c>
      <c r="AB174" s="22">
        <v>67500</v>
      </c>
      <c r="AC174" s="20">
        <v>-0.10077519379844961</v>
      </c>
      <c r="AD174" s="22">
        <v>0.69135802469135799</v>
      </c>
      <c r="AE174">
        <v>4.8333333333333332E-2</v>
      </c>
      <c r="AF174">
        <v>5.9166666666666666E-2</v>
      </c>
      <c r="AG174">
        <v>0.1075</v>
      </c>
      <c r="AH174">
        <v>0.11416666666666667</v>
      </c>
      <c r="AI174">
        <v>2.0833333333333332E-2</v>
      </c>
      <c r="AJ174">
        <v>0.13500000000000001</v>
      </c>
      <c r="AM174">
        <f t="shared" si="2"/>
        <v>32.4</v>
      </c>
    </row>
    <row r="175" spans="1:39">
      <c r="A175" s="20">
        <v>714</v>
      </c>
      <c r="B175" t="s">
        <v>12</v>
      </c>
      <c r="C175" s="22" t="s">
        <v>55</v>
      </c>
      <c r="D175">
        <v>2585</v>
      </c>
      <c r="E175">
        <v>780</v>
      </c>
      <c r="F175" s="43">
        <v>3.3141025641025643</v>
      </c>
      <c r="G175">
        <v>300</v>
      </c>
      <c r="H175" s="43">
        <v>2.6</v>
      </c>
      <c r="I175" s="20">
        <v>0.49083503099999998</v>
      </c>
      <c r="J175">
        <v>0.51731160899999995</v>
      </c>
      <c r="K175">
        <v>1</v>
      </c>
      <c r="L175">
        <v>0.75152749500000005</v>
      </c>
      <c r="M175">
        <v>0.60896130299999995</v>
      </c>
      <c r="N175">
        <v>0.53564154799999997</v>
      </c>
      <c r="O175">
        <v>0.49083503099999998</v>
      </c>
      <c r="P175">
        <v>0.39714867599999998</v>
      </c>
      <c r="Q175">
        <v>0.40122199600000003</v>
      </c>
      <c r="R175">
        <v>0.57841140499999999</v>
      </c>
      <c r="S175">
        <v>0.48879837100000001</v>
      </c>
      <c r="T175" s="22">
        <v>0.51731160899999995</v>
      </c>
      <c r="U175" s="20" t="s">
        <v>142</v>
      </c>
      <c r="V175" t="s">
        <v>142</v>
      </c>
      <c r="W175">
        <v>8</v>
      </c>
      <c r="X175" s="22">
        <v>7</v>
      </c>
      <c r="Y175" s="20">
        <v>362700</v>
      </c>
      <c r="Z175">
        <v>11700</v>
      </c>
      <c r="AA175">
        <v>179100</v>
      </c>
      <c r="AB175" s="22">
        <v>0</v>
      </c>
      <c r="AC175" s="20">
        <v>0.9375</v>
      </c>
      <c r="AD175" s="22">
        <v>1</v>
      </c>
      <c r="AE175">
        <v>0.46769825918762087</v>
      </c>
      <c r="AF175">
        <v>1.5087040618955513E-2</v>
      </c>
      <c r="AG175">
        <v>0.48278529980657636</v>
      </c>
      <c r="AH175">
        <v>0.2309477756286267</v>
      </c>
      <c r="AI175">
        <v>0</v>
      </c>
      <c r="AJ175">
        <v>0.2309477756286267</v>
      </c>
      <c r="AM175">
        <f t="shared" si="2"/>
        <v>12.925000000000001</v>
      </c>
    </row>
    <row r="176" spans="1:39">
      <c r="A176" s="20">
        <v>715</v>
      </c>
      <c r="B176" t="s">
        <v>10</v>
      </c>
      <c r="C176" s="22" t="s">
        <v>55</v>
      </c>
      <c r="D176">
        <v>3075</v>
      </c>
      <c r="E176">
        <v>140</v>
      </c>
      <c r="F176" s="43">
        <v>21.964285714285715</v>
      </c>
      <c r="G176">
        <v>300</v>
      </c>
      <c r="H176" s="43">
        <v>0.46666666666666667</v>
      </c>
      <c r="I176" s="20">
        <v>1.266055046</v>
      </c>
      <c r="J176">
        <v>0.50152905199999998</v>
      </c>
      <c r="K176">
        <v>1</v>
      </c>
      <c r="L176">
        <v>0.89602446499999999</v>
      </c>
      <c r="M176">
        <v>0.72171253800000001</v>
      </c>
      <c r="N176">
        <v>0.59327217099999996</v>
      </c>
      <c r="O176">
        <v>0.8</v>
      </c>
      <c r="P176">
        <v>1</v>
      </c>
      <c r="Q176">
        <v>1</v>
      </c>
      <c r="R176">
        <v>1.1896024460000001</v>
      </c>
      <c r="S176">
        <v>1</v>
      </c>
      <c r="T176" s="22">
        <v>0.50152905199999998</v>
      </c>
      <c r="U176" s="20" t="s">
        <v>143</v>
      </c>
      <c r="V176" t="s">
        <v>143</v>
      </c>
      <c r="W176">
        <v>2</v>
      </c>
      <c r="X176" s="22">
        <v>3</v>
      </c>
      <c r="Y176" s="20">
        <v>239400</v>
      </c>
      <c r="Z176">
        <v>39600</v>
      </c>
      <c r="AA176">
        <v>197100</v>
      </c>
      <c r="AB176" s="22">
        <v>3600</v>
      </c>
      <c r="AC176" s="20">
        <v>0.71612903225806457</v>
      </c>
      <c r="AD176" s="22">
        <v>0.9641255605381166</v>
      </c>
      <c r="AE176">
        <v>0.25951219512195123</v>
      </c>
      <c r="AF176">
        <v>4.2926829268292686E-2</v>
      </c>
      <c r="AG176">
        <v>0.30243902439024389</v>
      </c>
      <c r="AH176">
        <v>0.21365853658536585</v>
      </c>
      <c r="AI176">
        <v>3.9024390243902439E-3</v>
      </c>
      <c r="AJ176">
        <v>0.2175609756097561</v>
      </c>
      <c r="AM176">
        <f t="shared" si="2"/>
        <v>15.375</v>
      </c>
    </row>
    <row r="177" spans="1:39">
      <c r="A177" s="20">
        <v>717</v>
      </c>
      <c r="B177" t="s">
        <v>10</v>
      </c>
      <c r="C177" s="22" t="s">
        <v>55</v>
      </c>
      <c r="D177">
        <v>3730</v>
      </c>
      <c r="E177">
        <v>170</v>
      </c>
      <c r="F177" s="43">
        <v>21.941176470588236</v>
      </c>
      <c r="G177">
        <v>220</v>
      </c>
      <c r="H177" s="43">
        <v>0.77272727272727271</v>
      </c>
      <c r="I177" s="20">
        <v>0.32125205899999998</v>
      </c>
      <c r="J177">
        <v>0.18286655700000001</v>
      </c>
      <c r="K177">
        <v>1</v>
      </c>
      <c r="L177">
        <v>0.19604612900000001</v>
      </c>
      <c r="M177">
        <v>0.37232290000000001</v>
      </c>
      <c r="N177">
        <v>0.19934102100000001</v>
      </c>
      <c r="O177">
        <v>0.32125205899999998</v>
      </c>
      <c r="P177">
        <v>0.42504118600000002</v>
      </c>
      <c r="Q177">
        <v>0.149917628</v>
      </c>
      <c r="R177">
        <v>0.202635914</v>
      </c>
      <c r="S177">
        <v>0.191103789</v>
      </c>
      <c r="T177" s="22">
        <v>0.18286655700000001</v>
      </c>
      <c r="U177" s="20" t="s">
        <v>146</v>
      </c>
      <c r="V177" t="s">
        <v>142</v>
      </c>
      <c r="W177">
        <v>3</v>
      </c>
      <c r="X177" s="22">
        <v>3</v>
      </c>
      <c r="Y177" s="20">
        <v>395100</v>
      </c>
      <c r="Z177">
        <v>15300</v>
      </c>
      <c r="AA177">
        <v>279000</v>
      </c>
      <c r="AB177" s="22">
        <v>0</v>
      </c>
      <c r="AC177" s="20">
        <v>0.92543859649122806</v>
      </c>
      <c r="AD177" s="22">
        <v>1</v>
      </c>
      <c r="AE177">
        <v>0.48147696807214235</v>
      </c>
      <c r="AF177">
        <v>1.8644893980014624E-2</v>
      </c>
      <c r="AG177">
        <v>0.50012186205215703</v>
      </c>
      <c r="AH177">
        <v>0.33999512551791372</v>
      </c>
      <c r="AI177">
        <v>0</v>
      </c>
      <c r="AJ177">
        <v>0.33999512551791372</v>
      </c>
      <c r="AM177">
        <f t="shared" si="2"/>
        <v>18.649999999999999</v>
      </c>
    </row>
    <row r="178" spans="1:39">
      <c r="A178" s="20">
        <v>724</v>
      </c>
      <c r="B178" t="s">
        <v>12</v>
      </c>
      <c r="C178" s="22" t="s">
        <v>59</v>
      </c>
      <c r="D178">
        <v>3500</v>
      </c>
      <c r="E178">
        <v>1300</v>
      </c>
      <c r="F178" s="43">
        <v>2.6923076923076925</v>
      </c>
      <c r="G178">
        <v>220</v>
      </c>
      <c r="H178" s="43">
        <v>5.9090909090909092</v>
      </c>
      <c r="I178" s="20">
        <v>0.35676392600000001</v>
      </c>
      <c r="K178">
        <v>1</v>
      </c>
      <c r="L178">
        <v>0.95490716200000003</v>
      </c>
      <c r="M178">
        <v>0.9</v>
      </c>
      <c r="N178">
        <v>0.8</v>
      </c>
      <c r="O178">
        <v>0.35676392600000001</v>
      </c>
      <c r="P178">
        <v>0.46551724100000003</v>
      </c>
      <c r="Q178">
        <v>0.44960212199999999</v>
      </c>
      <c r="R178">
        <v>0.57161803700000002</v>
      </c>
      <c r="S178">
        <v>0.56498673700000002</v>
      </c>
      <c r="T178" s="22"/>
      <c r="U178" s="20" t="s">
        <v>142</v>
      </c>
      <c r="V178" t="s">
        <v>142</v>
      </c>
      <c r="W178">
        <v>2</v>
      </c>
      <c r="X178" s="22">
        <v>2</v>
      </c>
      <c r="Y178" s="20">
        <v>286200</v>
      </c>
      <c r="Z178">
        <v>184500</v>
      </c>
      <c r="AA178">
        <v>316800</v>
      </c>
      <c r="AB178" s="22">
        <v>5400</v>
      </c>
      <c r="AC178" s="20">
        <v>0.21606118546845124</v>
      </c>
      <c r="AD178" s="22">
        <v>0.96648044692737434</v>
      </c>
      <c r="AE178">
        <v>0.37168831168831168</v>
      </c>
      <c r="AF178">
        <v>0.23961038961038961</v>
      </c>
      <c r="AG178">
        <v>0.61129870129870123</v>
      </c>
      <c r="AH178">
        <v>0.41142857142857142</v>
      </c>
      <c r="AI178">
        <v>7.0129870129870134E-3</v>
      </c>
      <c r="AJ178">
        <v>0.41844155844155845</v>
      </c>
      <c r="AM178">
        <f t="shared" si="2"/>
        <v>17.5</v>
      </c>
    </row>
    <row r="179" spans="1:39">
      <c r="A179" s="20">
        <v>725</v>
      </c>
      <c r="B179" t="s">
        <v>10</v>
      </c>
      <c r="C179" s="22" t="s">
        <v>59</v>
      </c>
      <c r="D179">
        <v>3725</v>
      </c>
      <c r="E179">
        <v>250</v>
      </c>
      <c r="F179" s="43">
        <v>14.9</v>
      </c>
      <c r="G179">
        <v>220</v>
      </c>
      <c r="H179" s="43">
        <v>1.1363636363636365</v>
      </c>
      <c r="I179" s="20">
        <v>1.1352357319999999</v>
      </c>
      <c r="J179">
        <v>0.63399503700000004</v>
      </c>
      <c r="K179">
        <v>1</v>
      </c>
      <c r="L179">
        <v>0.93920595500000004</v>
      </c>
      <c r="M179">
        <v>0.95657568199999998</v>
      </c>
      <c r="N179">
        <v>0.99379652600000001</v>
      </c>
      <c r="O179">
        <v>1.1352357319999999</v>
      </c>
      <c r="P179">
        <v>0.76302729499999999</v>
      </c>
      <c r="Q179">
        <v>0.87344913199999996</v>
      </c>
      <c r="R179">
        <v>0.98138957800000004</v>
      </c>
      <c r="S179">
        <v>0.40322580600000002</v>
      </c>
      <c r="T179" s="22">
        <v>0.63399503700000004</v>
      </c>
      <c r="U179" s="20" t="s">
        <v>143</v>
      </c>
      <c r="V179" t="s">
        <v>142</v>
      </c>
      <c r="W179">
        <v>2</v>
      </c>
      <c r="X179" s="22">
        <v>2</v>
      </c>
      <c r="Y179" s="20">
        <v>147600</v>
      </c>
      <c r="Z179">
        <v>40500</v>
      </c>
      <c r="AA179">
        <v>69300</v>
      </c>
      <c r="AB179" s="22">
        <v>1800</v>
      </c>
      <c r="AC179" s="20">
        <v>0.56937799043062198</v>
      </c>
      <c r="AD179" s="22">
        <v>0.94936708860759489</v>
      </c>
      <c r="AE179">
        <v>0.18010982306284321</v>
      </c>
      <c r="AF179">
        <v>4.9420378279438681E-2</v>
      </c>
      <c r="AG179">
        <v>0.22953020134228189</v>
      </c>
      <c r="AH179">
        <v>8.4563758389261751E-2</v>
      </c>
      <c r="AI179">
        <v>2.1964612568639414E-3</v>
      </c>
      <c r="AJ179">
        <v>8.6760219646125694E-2</v>
      </c>
      <c r="AM179">
        <f t="shared" si="2"/>
        <v>18.625</v>
      </c>
    </row>
    <row r="180" spans="1:39">
      <c r="A180" s="20">
        <v>726</v>
      </c>
      <c r="B180" t="s">
        <v>12</v>
      </c>
      <c r="C180" s="22" t="s">
        <v>59</v>
      </c>
      <c r="D180">
        <v>2275</v>
      </c>
      <c r="E180">
        <v>850</v>
      </c>
      <c r="F180" s="43">
        <v>2.6764705882352939</v>
      </c>
      <c r="G180">
        <v>220</v>
      </c>
      <c r="H180" s="43">
        <v>3.8636363636363638</v>
      </c>
      <c r="I180" s="20">
        <v>0.113475177</v>
      </c>
      <c r="K180">
        <v>1</v>
      </c>
      <c r="L180">
        <v>0.97872340400000002</v>
      </c>
      <c r="M180">
        <v>0.8</v>
      </c>
      <c r="N180">
        <v>0.109929078</v>
      </c>
      <c r="O180">
        <v>0.113475177</v>
      </c>
      <c r="T180" s="22"/>
      <c r="U180" s="20" t="s">
        <v>143</v>
      </c>
      <c r="V180" t="s">
        <v>142</v>
      </c>
      <c r="W180">
        <v>2</v>
      </c>
      <c r="X180" s="22">
        <v>2</v>
      </c>
      <c r="Y180" s="20">
        <v>153000</v>
      </c>
      <c r="Z180">
        <v>99000</v>
      </c>
      <c r="AA180">
        <v>138600</v>
      </c>
      <c r="AB180" s="22">
        <v>0</v>
      </c>
      <c r="AC180" s="20">
        <v>0.21428571428571427</v>
      </c>
      <c r="AD180" s="22">
        <v>1</v>
      </c>
      <c r="AE180">
        <v>0.30569430569430567</v>
      </c>
      <c r="AF180">
        <v>0.19780219780219779</v>
      </c>
      <c r="AG180">
        <v>0.50349650349650343</v>
      </c>
      <c r="AH180">
        <v>0.27692307692307694</v>
      </c>
      <c r="AI180">
        <v>0</v>
      </c>
      <c r="AJ180">
        <v>0.27692307692307694</v>
      </c>
      <c r="AM180">
        <f t="shared" si="2"/>
        <v>11.375</v>
      </c>
    </row>
    <row r="181" spans="1:39">
      <c r="A181" s="20">
        <v>727</v>
      </c>
      <c r="B181" t="s">
        <v>10</v>
      </c>
      <c r="C181" s="22" t="s">
        <v>59</v>
      </c>
      <c r="D181">
        <v>2465</v>
      </c>
      <c r="E181">
        <v>110</v>
      </c>
      <c r="F181" s="43">
        <v>22.40909090909091</v>
      </c>
      <c r="G181">
        <v>220</v>
      </c>
      <c r="H181" s="43">
        <v>0.5</v>
      </c>
      <c r="I181" s="20">
        <v>0.19760479</v>
      </c>
      <c r="J181">
        <v>0.52295409199999998</v>
      </c>
      <c r="K181">
        <v>1</v>
      </c>
      <c r="L181">
        <v>0.93413173699999996</v>
      </c>
      <c r="M181">
        <v>0.63273453099999999</v>
      </c>
      <c r="N181">
        <v>0.19161676599999999</v>
      </c>
      <c r="O181">
        <v>0.19760479</v>
      </c>
      <c r="P181">
        <v>0.20958083799999999</v>
      </c>
      <c r="Q181">
        <v>0.31337325300000002</v>
      </c>
      <c r="R181">
        <v>0.54690618800000002</v>
      </c>
      <c r="S181">
        <v>0.60479041899999997</v>
      </c>
      <c r="T181" s="22">
        <v>0.52295409199999998</v>
      </c>
      <c r="U181" s="20" t="s">
        <v>143</v>
      </c>
      <c r="V181" t="s">
        <v>142</v>
      </c>
      <c r="W181">
        <v>4</v>
      </c>
      <c r="X181" s="22">
        <v>2</v>
      </c>
      <c r="Y181" s="20">
        <v>200700</v>
      </c>
      <c r="Z181">
        <v>135000</v>
      </c>
      <c r="AA181">
        <v>129600</v>
      </c>
      <c r="AB181" s="22">
        <v>3600</v>
      </c>
      <c r="AC181" s="20">
        <v>0.19571045576407506</v>
      </c>
      <c r="AD181" s="22">
        <v>0.94594594594594594</v>
      </c>
      <c r="AE181">
        <v>0.37009035589157291</v>
      </c>
      <c r="AF181">
        <v>0.24893970127235848</v>
      </c>
      <c r="AG181">
        <v>0.61903005716393134</v>
      </c>
      <c r="AH181">
        <v>0.23898211322146412</v>
      </c>
      <c r="AI181">
        <v>6.6383920339295596E-3</v>
      </c>
      <c r="AJ181">
        <v>0.24562050525539367</v>
      </c>
      <c r="AM181">
        <f t="shared" si="2"/>
        <v>12.324999999999999</v>
      </c>
    </row>
    <row r="182" spans="1:39">
      <c r="A182" s="20">
        <v>731</v>
      </c>
      <c r="B182" t="s">
        <v>10</v>
      </c>
      <c r="C182" s="22" t="s">
        <v>59</v>
      </c>
      <c r="D182">
        <v>4930</v>
      </c>
      <c r="E182">
        <v>60</v>
      </c>
      <c r="F182" s="43">
        <v>82.166666666666671</v>
      </c>
      <c r="G182">
        <v>220</v>
      </c>
      <c r="H182" s="43">
        <v>0.27272727272727271</v>
      </c>
      <c r="I182" s="20">
        <f>O182</f>
        <v>0.98050139275766013</v>
      </c>
      <c r="J182">
        <f>T182</f>
        <v>0.6740947075208914</v>
      </c>
      <c r="K182">
        <v>1</v>
      </c>
      <c r="L182">
        <v>1.1977715877437325</v>
      </c>
      <c r="M182">
        <v>0.93871866295264628</v>
      </c>
      <c r="N182">
        <v>1.2590529247910864</v>
      </c>
      <c r="O182">
        <v>0.98050139275766013</v>
      </c>
      <c r="P182">
        <v>0.96657381615598881</v>
      </c>
      <c r="Q182">
        <v>0.96100278551532037</v>
      </c>
      <c r="R182">
        <v>0.88579387186629521</v>
      </c>
      <c r="S182">
        <v>0.73537604456824512</v>
      </c>
      <c r="T182" s="22">
        <v>0.6740947075208914</v>
      </c>
      <c r="U182" s="20" t="s">
        <v>143</v>
      </c>
      <c r="V182" t="s">
        <v>142</v>
      </c>
      <c r="W182">
        <v>1</v>
      </c>
      <c r="X182" s="22">
        <v>1</v>
      </c>
      <c r="Y182" s="20">
        <v>94500</v>
      </c>
      <c r="Z182">
        <v>11700</v>
      </c>
      <c r="AA182">
        <v>81900</v>
      </c>
      <c r="AB182" s="22">
        <v>0</v>
      </c>
      <c r="AC182" s="20">
        <v>0.77966101694915257</v>
      </c>
      <c r="AD182" s="22">
        <v>1</v>
      </c>
      <c r="AE182">
        <v>8.7128895445325469E-2</v>
      </c>
      <c r="AF182">
        <v>1.0787387055135534E-2</v>
      </c>
      <c r="AG182">
        <v>9.7916282500460999E-2</v>
      </c>
      <c r="AH182">
        <v>7.5511709385948741E-2</v>
      </c>
      <c r="AI182">
        <v>0</v>
      </c>
      <c r="AJ182">
        <v>7.5511709385948741E-2</v>
      </c>
      <c r="AM182">
        <f t="shared" si="2"/>
        <v>24.65</v>
      </c>
    </row>
    <row r="183" spans="1:39">
      <c r="A183" s="20">
        <v>732</v>
      </c>
      <c r="B183" t="s">
        <v>10</v>
      </c>
      <c r="C183" s="22" t="s">
        <v>59</v>
      </c>
      <c r="D183">
        <v>2510</v>
      </c>
      <c r="E183">
        <v>195</v>
      </c>
      <c r="F183" s="43">
        <v>12.871794871794872</v>
      </c>
      <c r="G183">
        <v>200</v>
      </c>
      <c r="H183" s="43">
        <v>0.97499999999999998</v>
      </c>
      <c r="I183" s="20">
        <v>0.36328871899999998</v>
      </c>
      <c r="J183">
        <v>0.160611855</v>
      </c>
      <c r="K183">
        <v>1</v>
      </c>
      <c r="L183">
        <v>0.88145315499999999</v>
      </c>
      <c r="M183">
        <v>0.70172084099999998</v>
      </c>
      <c r="N183">
        <v>0.29636711300000002</v>
      </c>
      <c r="O183">
        <v>0.36328871899999998</v>
      </c>
      <c r="P183">
        <v>0.14722753299999999</v>
      </c>
      <c r="Q183">
        <v>0.170172084</v>
      </c>
      <c r="R183">
        <v>0.14722753299999999</v>
      </c>
      <c r="S183">
        <v>0.45315487599999998</v>
      </c>
      <c r="T183" s="22">
        <v>0.160611855</v>
      </c>
      <c r="U183" s="20" t="s">
        <v>143</v>
      </c>
      <c r="V183" t="s">
        <v>142</v>
      </c>
      <c r="W183">
        <v>3</v>
      </c>
      <c r="X183" s="22">
        <v>3</v>
      </c>
      <c r="Y183" s="20">
        <v>235800</v>
      </c>
      <c r="Z183">
        <v>87300</v>
      </c>
      <c r="AA183">
        <v>187200</v>
      </c>
      <c r="AB183" s="22">
        <v>21600</v>
      </c>
      <c r="AC183" s="20">
        <v>0.4596100278551532</v>
      </c>
      <c r="AD183" s="22">
        <v>0.7931034482758621</v>
      </c>
      <c r="AE183">
        <v>0.46972111553784862</v>
      </c>
      <c r="AF183">
        <v>0.17390438247011952</v>
      </c>
      <c r="AG183">
        <v>0.64362549800796809</v>
      </c>
      <c r="AH183">
        <v>0.37290836653386455</v>
      </c>
      <c r="AI183">
        <v>4.3027888446215141E-2</v>
      </c>
      <c r="AJ183">
        <v>0.41593625498007969</v>
      </c>
      <c r="AM183">
        <f t="shared" si="2"/>
        <v>12.55</v>
      </c>
    </row>
    <row r="184" spans="1:39">
      <c r="A184" s="20">
        <v>733</v>
      </c>
      <c r="B184" t="s">
        <v>10</v>
      </c>
      <c r="C184" s="22" t="s">
        <v>59</v>
      </c>
      <c r="D184">
        <v>3730</v>
      </c>
      <c r="E184">
        <v>35</v>
      </c>
      <c r="F184" s="43">
        <v>106.57142857142857</v>
      </c>
      <c r="G184">
        <v>200</v>
      </c>
      <c r="H184" s="43">
        <v>0.17499999999999999</v>
      </c>
      <c r="I184" s="20">
        <v>0.26682408499999999</v>
      </c>
      <c r="J184">
        <v>0.350649351</v>
      </c>
      <c r="K184">
        <v>1</v>
      </c>
      <c r="L184">
        <v>0.88665879599999997</v>
      </c>
      <c r="M184">
        <v>0.54781582100000004</v>
      </c>
      <c r="N184">
        <v>0.44864226699999998</v>
      </c>
      <c r="O184">
        <v>0.26682408499999999</v>
      </c>
      <c r="P184">
        <v>0.317591499</v>
      </c>
      <c r="Q184">
        <v>0.28099173599999999</v>
      </c>
      <c r="R184">
        <v>0.19952774500000001</v>
      </c>
      <c r="S184">
        <v>0.34356552499999998</v>
      </c>
      <c r="T184" s="22">
        <v>0.350649351</v>
      </c>
      <c r="U184" s="20" t="s">
        <v>142</v>
      </c>
      <c r="V184" t="s">
        <v>142</v>
      </c>
      <c r="W184">
        <v>3</v>
      </c>
      <c r="X184" s="22">
        <v>3</v>
      </c>
      <c r="Y184" s="20">
        <v>135000</v>
      </c>
      <c r="Z184">
        <v>25200</v>
      </c>
      <c r="AA184">
        <v>181800</v>
      </c>
      <c r="AB184" s="22">
        <v>900</v>
      </c>
      <c r="AC184" s="20">
        <v>0.6853932584269663</v>
      </c>
      <c r="AD184" s="22">
        <v>0.99014778325123154</v>
      </c>
      <c r="AE184">
        <v>0.18096514745308312</v>
      </c>
      <c r="AF184">
        <v>3.3780160857908845E-2</v>
      </c>
      <c r="AG184">
        <v>0.21474530831099198</v>
      </c>
      <c r="AH184">
        <v>0.24369973190348526</v>
      </c>
      <c r="AI184">
        <v>1.2064343163538875E-3</v>
      </c>
      <c r="AJ184">
        <v>0.24490616621983916</v>
      </c>
      <c r="AM184">
        <f t="shared" si="2"/>
        <v>18.649999999999999</v>
      </c>
    </row>
    <row r="185" spans="1:39">
      <c r="A185" s="20">
        <v>734</v>
      </c>
      <c r="B185" t="s">
        <v>10</v>
      </c>
      <c r="C185" s="22" t="s">
        <v>59</v>
      </c>
      <c r="D185">
        <v>7260</v>
      </c>
      <c r="E185">
        <v>45</v>
      </c>
      <c r="F185" s="43">
        <v>161.33333333333334</v>
      </c>
      <c r="G185">
        <v>200</v>
      </c>
      <c r="H185" s="43">
        <v>0.22500000000000001</v>
      </c>
      <c r="I185" s="20">
        <v>0.86415094299999995</v>
      </c>
      <c r="J185">
        <v>0.51471698099999996</v>
      </c>
      <c r="K185">
        <v>1</v>
      </c>
      <c r="L185">
        <v>0.94188679200000003</v>
      </c>
      <c r="M185">
        <v>0.79094339599999997</v>
      </c>
      <c r="N185">
        <v>0.63773584900000002</v>
      </c>
      <c r="O185">
        <v>0.86415094299999995</v>
      </c>
      <c r="P185">
        <v>0.59924528300000002</v>
      </c>
      <c r="Q185">
        <v>0.67094339599999997</v>
      </c>
      <c r="R185">
        <v>0.78037735799999997</v>
      </c>
      <c r="S185">
        <v>0.44377358500000003</v>
      </c>
      <c r="T185" s="22">
        <v>0.51471698099999996</v>
      </c>
      <c r="U185" s="20" t="s">
        <v>143</v>
      </c>
      <c r="V185" t="s">
        <v>146</v>
      </c>
      <c r="W185">
        <v>3</v>
      </c>
      <c r="X185" s="22">
        <v>2</v>
      </c>
      <c r="Y185" s="20">
        <v>183600</v>
      </c>
      <c r="Z185">
        <v>69300</v>
      </c>
      <c r="AA185">
        <v>97200</v>
      </c>
      <c r="AB185" s="22">
        <v>18900</v>
      </c>
      <c r="AC185" s="20">
        <v>0.45195729537366547</v>
      </c>
      <c r="AD185" s="22">
        <v>0.67441860465116277</v>
      </c>
      <c r="AE185">
        <v>0.12644628099173555</v>
      </c>
      <c r="AF185">
        <v>4.7727272727272729E-2</v>
      </c>
      <c r="AG185">
        <v>0.17417355371900828</v>
      </c>
      <c r="AH185">
        <v>6.6942148760330583E-2</v>
      </c>
      <c r="AI185">
        <v>1.3016528925619835E-2</v>
      </c>
      <c r="AJ185">
        <v>7.9958677685950413E-2</v>
      </c>
      <c r="AM185">
        <f t="shared" si="2"/>
        <v>36.299999999999997</v>
      </c>
    </row>
    <row r="186" spans="1:39">
      <c r="A186" s="20">
        <v>735</v>
      </c>
      <c r="B186" t="s">
        <v>10</v>
      </c>
      <c r="C186" s="22" t="s">
        <v>59</v>
      </c>
      <c r="D186">
        <v>7220</v>
      </c>
      <c r="E186">
        <v>90</v>
      </c>
      <c r="F186" s="43">
        <v>80.222222222222229</v>
      </c>
      <c r="G186">
        <v>200</v>
      </c>
      <c r="H186" s="43">
        <v>0.45</v>
      </c>
      <c r="I186" s="20">
        <v>0.75389830499999999</v>
      </c>
      <c r="K186">
        <v>1</v>
      </c>
      <c r="L186">
        <v>0.81355932200000003</v>
      </c>
      <c r="M186">
        <v>0.905084746</v>
      </c>
      <c r="N186">
        <v>0.80338983100000005</v>
      </c>
      <c r="O186">
        <v>0.75389830499999999</v>
      </c>
      <c r="P186">
        <v>0.645423729</v>
      </c>
      <c r="Q186">
        <v>0.54305084699999995</v>
      </c>
      <c r="R186">
        <v>0.51796610200000004</v>
      </c>
      <c r="T186" s="22"/>
      <c r="U186" s="20" t="s">
        <v>142</v>
      </c>
      <c r="V186" t="s">
        <v>142</v>
      </c>
      <c r="W186">
        <v>5</v>
      </c>
      <c r="X186" s="22">
        <v>3</v>
      </c>
      <c r="Y186" s="20">
        <v>387900</v>
      </c>
      <c r="Z186">
        <v>147600</v>
      </c>
      <c r="AA186">
        <v>162900</v>
      </c>
      <c r="AB186" s="22">
        <v>3600</v>
      </c>
      <c r="AC186" s="20">
        <v>0.44873949579831934</v>
      </c>
      <c r="AD186" s="22">
        <v>0.95675675675675675</v>
      </c>
      <c r="AE186">
        <v>0.26862880886426593</v>
      </c>
      <c r="AF186">
        <v>0.10221606648199447</v>
      </c>
      <c r="AG186">
        <v>0.37084487534626043</v>
      </c>
      <c r="AH186">
        <v>0.11281163434903047</v>
      </c>
      <c r="AI186">
        <v>2.4930747922437672E-3</v>
      </c>
      <c r="AJ186">
        <v>0.11530470914127423</v>
      </c>
      <c r="AM186">
        <f t="shared" si="2"/>
        <v>36.1</v>
      </c>
    </row>
    <row r="187" spans="1:39">
      <c r="A187" s="20">
        <v>741</v>
      </c>
      <c r="B187" t="s">
        <v>10</v>
      </c>
      <c r="C187" s="22" t="s">
        <v>61</v>
      </c>
      <c r="D187">
        <v>5290</v>
      </c>
      <c r="E187">
        <v>100</v>
      </c>
      <c r="F187" s="43">
        <v>52.9</v>
      </c>
      <c r="G187">
        <v>201</v>
      </c>
      <c r="H187" s="43">
        <v>0.49751243781094528</v>
      </c>
      <c r="I187" s="20">
        <v>0.82421590099999997</v>
      </c>
      <c r="J187">
        <v>0.70386579100000002</v>
      </c>
      <c r="K187">
        <v>1</v>
      </c>
      <c r="L187">
        <v>0.91757840999999996</v>
      </c>
      <c r="M187">
        <v>0.91101385800000001</v>
      </c>
      <c r="N187">
        <v>0.84536834400000005</v>
      </c>
      <c r="O187">
        <v>0.82421590099999997</v>
      </c>
      <c r="P187">
        <v>0.84974471200000001</v>
      </c>
      <c r="Q187">
        <v>0.67250182300000005</v>
      </c>
      <c r="R187">
        <v>0.81765134900000003</v>
      </c>
      <c r="S187">
        <v>0.88037928499999996</v>
      </c>
      <c r="T187" s="22">
        <v>0.70386579100000002</v>
      </c>
      <c r="U187" s="20" t="s">
        <v>142</v>
      </c>
      <c r="V187" t="s">
        <v>143</v>
      </c>
      <c r="W187">
        <v>3</v>
      </c>
      <c r="X187" s="22">
        <v>8</v>
      </c>
      <c r="Y187" s="20">
        <v>118800</v>
      </c>
      <c r="Z187">
        <v>90900</v>
      </c>
      <c r="AA187">
        <v>311400</v>
      </c>
      <c r="AB187" s="22">
        <v>56700</v>
      </c>
      <c r="AC187" s="20">
        <v>0.13304721030042918</v>
      </c>
      <c r="AD187" s="22">
        <v>0.69193154034229831</v>
      </c>
      <c r="AE187">
        <v>0.11172869113788336</v>
      </c>
      <c r="AF187">
        <v>8.5489377310047118E-2</v>
      </c>
      <c r="AG187">
        <v>0.19721806844793049</v>
      </c>
      <c r="AH187">
        <v>0.29286459949778515</v>
      </c>
      <c r="AI187">
        <v>5.3325057133989787E-2</v>
      </c>
      <c r="AJ187">
        <v>0.34618965663177492</v>
      </c>
      <c r="AM187">
        <f t="shared" si="2"/>
        <v>26.45</v>
      </c>
    </row>
    <row r="188" spans="1:39">
      <c r="A188" s="20">
        <v>743</v>
      </c>
      <c r="B188" t="s">
        <v>12</v>
      </c>
      <c r="C188" s="22" t="s">
        <v>61</v>
      </c>
      <c r="D188">
        <v>8575</v>
      </c>
      <c r="E188">
        <v>1770</v>
      </c>
      <c r="F188" s="43">
        <v>4.8446327683615822</v>
      </c>
      <c r="G188">
        <v>201</v>
      </c>
      <c r="H188" s="43">
        <v>8.8059701492537314</v>
      </c>
      <c r="I188" s="20">
        <v>0.30925707499999999</v>
      </c>
      <c r="J188">
        <v>0.28832547200000003</v>
      </c>
      <c r="K188">
        <v>1</v>
      </c>
      <c r="L188">
        <v>0.95253537700000002</v>
      </c>
      <c r="M188">
        <v>0.71845518900000005</v>
      </c>
      <c r="N188">
        <v>0.37234669799999998</v>
      </c>
      <c r="O188">
        <v>0.30925707499999999</v>
      </c>
      <c r="P188">
        <v>0.29245283</v>
      </c>
      <c r="Q188">
        <v>0.30395047200000003</v>
      </c>
      <c r="R188">
        <v>0.31898584899999999</v>
      </c>
      <c r="S188">
        <v>0.32517688700000003</v>
      </c>
      <c r="T188" s="22">
        <v>0.28832547200000003</v>
      </c>
      <c r="U188" s="20" t="s">
        <v>142</v>
      </c>
      <c r="V188" t="s">
        <v>143</v>
      </c>
      <c r="W188">
        <v>3</v>
      </c>
      <c r="X188" s="22">
        <v>8</v>
      </c>
      <c r="Y188" s="20">
        <v>965700</v>
      </c>
      <c r="Z188">
        <v>0</v>
      </c>
      <c r="AA188">
        <v>1056600</v>
      </c>
      <c r="AB188" s="22">
        <v>652500</v>
      </c>
      <c r="AC188" s="20">
        <v>1</v>
      </c>
      <c r="AD188" s="22">
        <v>0.2364402317008952</v>
      </c>
      <c r="AE188">
        <v>0.56028893433706106</v>
      </c>
      <c r="AF188">
        <v>0</v>
      </c>
      <c r="AG188">
        <v>0.56028893433706106</v>
      </c>
      <c r="AH188">
        <v>0.61302815369218044</v>
      </c>
      <c r="AI188">
        <v>0.37857360428179798</v>
      </c>
      <c r="AJ188">
        <v>0.99160175797397843</v>
      </c>
      <c r="AM188">
        <f t="shared" si="2"/>
        <v>42.875</v>
      </c>
    </row>
    <row r="189" spans="1:39">
      <c r="A189" s="20">
        <v>745</v>
      </c>
      <c r="B189" t="s">
        <v>10</v>
      </c>
      <c r="C189" s="22" t="s">
        <v>61</v>
      </c>
      <c r="D189">
        <v>4255</v>
      </c>
      <c r="E189">
        <v>115</v>
      </c>
      <c r="F189" s="43">
        <v>37</v>
      </c>
      <c r="G189">
        <v>201</v>
      </c>
      <c r="H189" s="43">
        <v>0.57213930348258701</v>
      </c>
      <c r="I189" s="20">
        <v>0.952177626</v>
      </c>
      <c r="J189">
        <v>0.53458582399999999</v>
      </c>
      <c r="K189">
        <v>1</v>
      </c>
      <c r="L189">
        <v>1.03501281</v>
      </c>
      <c r="M189">
        <v>1.0162254479999999</v>
      </c>
      <c r="N189">
        <v>1.0017079419999999</v>
      </c>
      <c r="O189">
        <v>0.952177626</v>
      </c>
      <c r="P189">
        <v>0.91972672899999997</v>
      </c>
      <c r="Q189">
        <v>0.78479931700000005</v>
      </c>
      <c r="R189">
        <v>0.86165670400000005</v>
      </c>
      <c r="S189">
        <v>0.83262169100000005</v>
      </c>
      <c r="T189" s="22">
        <v>0.53458582399999999</v>
      </c>
      <c r="U189" s="20" t="s">
        <v>146</v>
      </c>
      <c r="V189" t="s">
        <v>143</v>
      </c>
      <c r="W189">
        <v>8</v>
      </c>
      <c r="X189" s="22">
        <v>6</v>
      </c>
      <c r="Y189" s="20">
        <v>437400</v>
      </c>
      <c r="Z189">
        <v>214200</v>
      </c>
      <c r="AA189">
        <v>207000</v>
      </c>
      <c r="AB189" s="22">
        <v>174600</v>
      </c>
      <c r="AC189" s="20">
        <v>0.34254143646408841</v>
      </c>
      <c r="AD189" s="22">
        <v>8.4905660377358486E-2</v>
      </c>
      <c r="AE189">
        <v>0.51142641668274369</v>
      </c>
      <c r="AF189">
        <v>0.25045161969237245</v>
      </c>
      <c r="AG189">
        <v>0.76187803637511609</v>
      </c>
      <c r="AH189">
        <v>0.24203307785397338</v>
      </c>
      <c r="AI189">
        <v>0.20414963958117754</v>
      </c>
      <c r="AJ189">
        <v>0.44618271743515092</v>
      </c>
      <c r="AM189">
        <f t="shared" si="2"/>
        <v>21.274999999999999</v>
      </c>
    </row>
    <row r="190" spans="1:39">
      <c r="A190" s="20">
        <v>749</v>
      </c>
      <c r="B190" t="s">
        <v>10</v>
      </c>
      <c r="C190" s="22" t="s">
        <v>61</v>
      </c>
      <c r="D190">
        <v>5560</v>
      </c>
      <c r="E190">
        <v>65</v>
      </c>
      <c r="F190" s="43">
        <v>85.538461538461533</v>
      </c>
      <c r="G190">
        <v>201</v>
      </c>
      <c r="H190" s="43">
        <v>0.32338308457711445</v>
      </c>
      <c r="I190" s="20">
        <v>0.77504976800000003</v>
      </c>
      <c r="J190">
        <v>0.49635036500000002</v>
      </c>
      <c r="K190">
        <v>1</v>
      </c>
      <c r="L190">
        <v>0.89382879900000001</v>
      </c>
      <c r="M190">
        <v>0.92833443900000001</v>
      </c>
      <c r="N190">
        <v>0.83012607800000004</v>
      </c>
      <c r="O190">
        <v>0.77504976800000003</v>
      </c>
      <c r="P190">
        <v>1.112143331</v>
      </c>
      <c r="Q190">
        <v>0.765759788</v>
      </c>
      <c r="R190">
        <v>0.58195089600000005</v>
      </c>
      <c r="S190">
        <v>0.65759787700000005</v>
      </c>
      <c r="T190" s="22">
        <v>0.49635036500000002</v>
      </c>
      <c r="U190" s="20" t="s">
        <v>143</v>
      </c>
      <c r="V190" t="s">
        <v>142</v>
      </c>
      <c r="W190">
        <v>3</v>
      </c>
      <c r="X190" s="22">
        <v>10</v>
      </c>
      <c r="Y190" s="20">
        <v>478800</v>
      </c>
      <c r="Z190">
        <v>74700</v>
      </c>
      <c r="AA190">
        <v>513900</v>
      </c>
      <c r="AB190" s="22">
        <v>18000</v>
      </c>
      <c r="AC190" s="20">
        <v>0.73008130081300815</v>
      </c>
      <c r="AD190" s="22">
        <v>0.93231810490693734</v>
      </c>
      <c r="AE190">
        <v>0.42843337270482124</v>
      </c>
      <c r="AF190">
        <v>6.6842048749060454E-2</v>
      </c>
      <c r="AG190">
        <v>0.4952754214538817</v>
      </c>
      <c r="AH190">
        <v>0.4598410823579942</v>
      </c>
      <c r="AI190">
        <v>1.6106517770857941E-2</v>
      </c>
      <c r="AJ190">
        <v>0.47594760012885212</v>
      </c>
      <c r="AM190">
        <f t="shared" si="2"/>
        <v>27.8</v>
      </c>
    </row>
    <row r="191" spans="1:39">
      <c r="A191" s="20">
        <v>750</v>
      </c>
      <c r="B191" t="s">
        <v>12</v>
      </c>
      <c r="C191" s="22" t="s">
        <v>61</v>
      </c>
      <c r="D191">
        <v>4215</v>
      </c>
      <c r="E191">
        <v>1435</v>
      </c>
      <c r="F191" s="43">
        <v>2.9372822299651569</v>
      </c>
      <c r="G191">
        <v>201</v>
      </c>
      <c r="H191" s="43">
        <v>7.1393034825870645</v>
      </c>
      <c r="I191" s="20">
        <v>0.91598915999999997</v>
      </c>
      <c r="J191">
        <v>0.288166215</v>
      </c>
      <c r="K191">
        <v>1</v>
      </c>
      <c r="L191">
        <v>1.06</v>
      </c>
      <c r="M191">
        <v>1.1228545619999999</v>
      </c>
      <c r="N191">
        <v>1.0659439930000001</v>
      </c>
      <c r="O191">
        <v>0.91598915999999997</v>
      </c>
      <c r="P191">
        <v>0.74977416399999997</v>
      </c>
      <c r="Q191">
        <v>0.22041553699999999</v>
      </c>
      <c r="R191">
        <v>0.24932249300000001</v>
      </c>
      <c r="S191">
        <v>0.27100270999999998</v>
      </c>
      <c r="T191" s="22">
        <v>0.288166215</v>
      </c>
      <c r="U191" s="20" t="s">
        <v>142</v>
      </c>
      <c r="V191" t="s">
        <v>142</v>
      </c>
      <c r="W191">
        <v>3</v>
      </c>
      <c r="X191" s="22">
        <v>3</v>
      </c>
      <c r="Y191" s="20">
        <v>715500</v>
      </c>
      <c r="Z191">
        <v>550800</v>
      </c>
      <c r="AA191">
        <v>408600</v>
      </c>
      <c r="AB191" s="22">
        <v>55800</v>
      </c>
      <c r="AC191" s="20">
        <v>0.13006396588486141</v>
      </c>
      <c r="AD191" s="22">
        <v>0.75968992248062017</v>
      </c>
      <c r="AE191">
        <v>0.8445317894513199</v>
      </c>
      <c r="AF191">
        <v>0.65013013225686511</v>
      </c>
      <c r="AG191">
        <v>1.4946619217081851</v>
      </c>
      <c r="AH191">
        <v>0.48228607850427579</v>
      </c>
      <c r="AI191">
        <v>6.58628565358262E-2</v>
      </c>
      <c r="AJ191">
        <v>0.54814893504010198</v>
      </c>
      <c r="AM191">
        <f t="shared" si="2"/>
        <v>21.074999999999999</v>
      </c>
    </row>
    <row r="192" spans="1:39">
      <c r="A192" s="20">
        <v>753</v>
      </c>
      <c r="B192" t="s">
        <v>10</v>
      </c>
      <c r="C192" s="22" t="s">
        <v>59</v>
      </c>
      <c r="D192">
        <v>5600</v>
      </c>
      <c r="E192">
        <v>75</v>
      </c>
      <c r="F192" s="43">
        <v>74.666666666666671</v>
      </c>
      <c r="G192">
        <v>207</v>
      </c>
      <c r="H192" s="43">
        <v>0.36231884057971014</v>
      </c>
      <c r="I192" s="20">
        <v>0.83823529399999996</v>
      </c>
      <c r="J192">
        <v>0.71799307999999995</v>
      </c>
      <c r="K192">
        <v>1</v>
      </c>
      <c r="L192">
        <v>0.92</v>
      </c>
      <c r="M192">
        <v>0.85034602100000001</v>
      </c>
      <c r="N192">
        <v>0.88754325300000003</v>
      </c>
      <c r="O192">
        <v>0.83823529399999996</v>
      </c>
      <c r="P192">
        <v>0.76297577900000002</v>
      </c>
      <c r="Q192">
        <v>0.783737024</v>
      </c>
      <c r="R192">
        <v>0.82785467099999999</v>
      </c>
      <c r="S192">
        <v>0.73961937700000002</v>
      </c>
      <c r="T192" s="22">
        <v>0.71799307999999995</v>
      </c>
      <c r="U192" s="20" t="s">
        <v>143</v>
      </c>
      <c r="V192" t="s">
        <v>143</v>
      </c>
      <c r="W192">
        <v>8</v>
      </c>
      <c r="X192" s="22">
        <v>2</v>
      </c>
      <c r="Y192" s="20">
        <v>203400</v>
      </c>
      <c r="Z192">
        <v>81900</v>
      </c>
      <c r="AA192">
        <v>138600</v>
      </c>
      <c r="AB192" s="22">
        <v>48600</v>
      </c>
      <c r="AC192" s="20">
        <v>0.42586750788643535</v>
      </c>
      <c r="AD192" s="22">
        <v>0.48076923076923078</v>
      </c>
      <c r="AE192">
        <v>0.17546583850931677</v>
      </c>
      <c r="AF192">
        <v>7.0652173913043473E-2</v>
      </c>
      <c r="AG192">
        <v>0.24611801242236025</v>
      </c>
      <c r="AH192">
        <v>0.11956521739130435</v>
      </c>
      <c r="AI192">
        <v>4.192546583850932E-2</v>
      </c>
      <c r="AJ192">
        <v>0.16149068322981366</v>
      </c>
      <c r="AM192">
        <f t="shared" si="2"/>
        <v>28</v>
      </c>
    </row>
    <row r="193" spans="1:39">
      <c r="A193" s="20">
        <v>757</v>
      </c>
      <c r="B193" t="s">
        <v>10</v>
      </c>
      <c r="C193" s="22" t="s">
        <v>61</v>
      </c>
      <c r="D193">
        <v>14630</v>
      </c>
      <c r="E193">
        <v>250</v>
      </c>
      <c r="F193" s="43">
        <v>58.52</v>
      </c>
      <c r="G193">
        <v>201</v>
      </c>
      <c r="H193" s="43">
        <v>1.2437810945273631</v>
      </c>
      <c r="I193" s="20">
        <v>1.140662506</v>
      </c>
      <c r="J193">
        <v>0.38886221799999998</v>
      </c>
      <c r="K193">
        <v>1</v>
      </c>
      <c r="L193">
        <v>0.94575131999999995</v>
      </c>
      <c r="M193">
        <v>1.0230436869999999</v>
      </c>
      <c r="N193">
        <v>0.87806048999999997</v>
      </c>
      <c r="O193">
        <v>1.140662506</v>
      </c>
      <c r="P193">
        <v>1.024483917</v>
      </c>
      <c r="Q193">
        <v>1.072971675</v>
      </c>
      <c r="R193">
        <v>1.0211233799999999</v>
      </c>
      <c r="S193">
        <v>0.96639462300000001</v>
      </c>
      <c r="T193" s="22">
        <v>0.38886221799999998</v>
      </c>
      <c r="U193" s="20" t="s">
        <v>142</v>
      </c>
      <c r="V193" t="s">
        <v>142</v>
      </c>
      <c r="W193">
        <v>14</v>
      </c>
      <c r="X193" s="22">
        <v>5</v>
      </c>
      <c r="Y193" s="20">
        <v>804600</v>
      </c>
      <c r="Z193">
        <v>0</v>
      </c>
      <c r="AA193">
        <v>975600</v>
      </c>
      <c r="AB193" s="22">
        <v>36900</v>
      </c>
      <c r="AC193" s="20">
        <v>1</v>
      </c>
      <c r="AD193" s="22">
        <v>0.92711111111111111</v>
      </c>
      <c r="AE193">
        <v>0.27361483763683292</v>
      </c>
      <c r="AF193">
        <v>0</v>
      </c>
      <c r="AG193">
        <v>0.27361483763683292</v>
      </c>
      <c r="AH193">
        <v>0.33176564205629405</v>
      </c>
      <c r="AI193">
        <v>1.2548331479988982E-2</v>
      </c>
      <c r="AJ193">
        <v>0.34431397353628301</v>
      </c>
      <c r="AM193">
        <f t="shared" si="2"/>
        <v>73.150000000000006</v>
      </c>
    </row>
    <row r="194" spans="1:39">
      <c r="A194" s="20">
        <v>758</v>
      </c>
      <c r="B194" t="s">
        <v>10</v>
      </c>
      <c r="C194" s="22" t="s">
        <v>63</v>
      </c>
      <c r="D194">
        <v>11860</v>
      </c>
      <c r="E194">
        <v>35</v>
      </c>
      <c r="F194" s="43">
        <v>338.85714285714283</v>
      </c>
      <c r="G194">
        <v>274</v>
      </c>
      <c r="H194" s="43">
        <v>0.12773722627737227</v>
      </c>
      <c r="I194" s="20">
        <v>0.94708853999999998</v>
      </c>
      <c r="J194">
        <v>0.70220685999999999</v>
      </c>
      <c r="K194">
        <v>1</v>
      </c>
      <c r="L194">
        <v>0.98191970200000001</v>
      </c>
      <c r="M194">
        <v>0.96330763100000005</v>
      </c>
      <c r="N194">
        <v>0.984046796</v>
      </c>
      <c r="O194">
        <v>0.94708853999999998</v>
      </c>
      <c r="P194">
        <v>0.97075245899999996</v>
      </c>
      <c r="Q194">
        <v>0.89949481499999995</v>
      </c>
      <c r="R194">
        <v>0.88752991199999998</v>
      </c>
      <c r="S194">
        <v>0.62802446199999995</v>
      </c>
      <c r="T194" s="22">
        <v>0.70220685999999999</v>
      </c>
      <c r="U194" s="20" t="s">
        <v>143</v>
      </c>
      <c r="V194" t="s">
        <v>142</v>
      </c>
      <c r="W194">
        <v>4</v>
      </c>
      <c r="X194" s="22">
        <v>9</v>
      </c>
      <c r="Y194" s="20">
        <v>243900</v>
      </c>
      <c r="Z194">
        <v>44100</v>
      </c>
      <c r="AA194">
        <v>1009800</v>
      </c>
      <c r="AB194" s="22">
        <v>48600</v>
      </c>
      <c r="AC194" s="20">
        <v>0.69374999999999998</v>
      </c>
      <c r="AD194" s="22">
        <v>0.90816326530612246</v>
      </c>
      <c r="AE194">
        <v>7.5054467571792571E-2</v>
      </c>
      <c r="AF194">
        <v>1.3570733988995705E-2</v>
      </c>
      <c r="AG194">
        <v>8.8625201560788278E-2</v>
      </c>
      <c r="AH194">
        <v>0.31074211297251386</v>
      </c>
      <c r="AI194">
        <v>1.4955502763383021E-2</v>
      </c>
      <c r="AJ194">
        <v>0.32569761573589689</v>
      </c>
      <c r="AM194">
        <f t="shared" si="2"/>
        <v>59.3</v>
      </c>
    </row>
    <row r="195" spans="1:39">
      <c r="A195" s="20">
        <v>763</v>
      </c>
      <c r="B195" t="s">
        <v>10</v>
      </c>
      <c r="C195" s="22" t="s">
        <v>63</v>
      </c>
      <c r="D195">
        <v>4810</v>
      </c>
      <c r="E195">
        <v>80</v>
      </c>
      <c r="F195" s="43">
        <v>60.125</v>
      </c>
      <c r="G195">
        <v>274</v>
      </c>
      <c r="H195" s="43">
        <v>0.29197080291970801</v>
      </c>
      <c r="I195" s="20">
        <v>0.87223411799999995</v>
      </c>
      <c r="J195">
        <v>0.77516059999999998</v>
      </c>
      <c r="K195">
        <v>1</v>
      </c>
      <c r="L195">
        <v>1.011420414</v>
      </c>
      <c r="M195">
        <v>0.98358315500000004</v>
      </c>
      <c r="N195">
        <v>0.82940756599999998</v>
      </c>
      <c r="O195">
        <v>0.87223411799999995</v>
      </c>
      <c r="P195">
        <v>0.86723768700000003</v>
      </c>
      <c r="Q195">
        <v>0.86295503200000001</v>
      </c>
      <c r="R195">
        <v>0.76659528899999996</v>
      </c>
      <c r="S195">
        <v>0.79514632399999996</v>
      </c>
      <c r="T195" s="22">
        <v>0.77516059999999998</v>
      </c>
      <c r="U195" s="20" t="s">
        <v>142</v>
      </c>
      <c r="V195" t="s">
        <v>143</v>
      </c>
      <c r="W195">
        <v>6</v>
      </c>
      <c r="X195" s="22">
        <v>3</v>
      </c>
      <c r="Y195" s="20">
        <v>36900</v>
      </c>
      <c r="Z195">
        <v>5400</v>
      </c>
      <c r="AA195">
        <v>70200</v>
      </c>
      <c r="AB195" s="22">
        <v>129600</v>
      </c>
      <c r="AC195" s="20">
        <v>0.74468085106382975</v>
      </c>
      <c r="AD195" s="22">
        <v>-0.29729729729729731</v>
      </c>
      <c r="AE195">
        <v>2.7998239677071792E-2</v>
      </c>
      <c r="AF195">
        <v>4.0973033673763603E-3</v>
      </c>
      <c r="AG195">
        <v>3.2095543044448151E-2</v>
      </c>
      <c r="AH195">
        <v>5.3264943775892679E-2</v>
      </c>
      <c r="AI195">
        <v>9.8335280817032647E-2</v>
      </c>
      <c r="AJ195">
        <v>0.15160022459292533</v>
      </c>
      <c r="AM195">
        <f t="shared" ref="AM195:AM218" si="3">D195/200</f>
        <v>24.05</v>
      </c>
    </row>
    <row r="196" spans="1:39">
      <c r="A196" s="20">
        <v>767</v>
      </c>
      <c r="B196" t="s">
        <v>10</v>
      </c>
      <c r="C196" s="22" t="s">
        <v>63</v>
      </c>
      <c r="D196">
        <v>5790</v>
      </c>
      <c r="E196">
        <v>60</v>
      </c>
      <c r="F196" s="43">
        <v>96.5</v>
      </c>
      <c r="G196">
        <v>274</v>
      </c>
      <c r="H196" s="43">
        <v>0.21897810218978103</v>
      </c>
      <c r="I196" s="20">
        <v>0.68607594900000002</v>
      </c>
      <c r="J196">
        <v>0.55864978899999995</v>
      </c>
      <c r="K196">
        <v>1</v>
      </c>
      <c r="L196">
        <v>0.98565400800000003</v>
      </c>
      <c r="M196">
        <v>0.78818565399999996</v>
      </c>
      <c r="N196">
        <v>0.77721518999999994</v>
      </c>
      <c r="O196">
        <v>0.68607594900000002</v>
      </c>
      <c r="P196">
        <v>0.60168776400000001</v>
      </c>
      <c r="Q196">
        <v>0.59409282699999999</v>
      </c>
      <c r="R196">
        <v>0.66413502099999999</v>
      </c>
      <c r="S196">
        <v>0.73839662399999995</v>
      </c>
      <c r="T196" s="22">
        <v>0.55864978899999995</v>
      </c>
      <c r="U196" s="20" t="s">
        <v>143</v>
      </c>
      <c r="V196" t="s">
        <v>143</v>
      </c>
      <c r="W196">
        <v>5</v>
      </c>
      <c r="X196" s="22">
        <v>5</v>
      </c>
      <c r="Y196" s="20">
        <v>219600</v>
      </c>
      <c r="Z196">
        <v>201600</v>
      </c>
      <c r="AA196">
        <v>260100</v>
      </c>
      <c r="AB196" s="22">
        <v>157500</v>
      </c>
      <c r="AC196" s="20">
        <v>4.2735042735042736E-2</v>
      </c>
      <c r="AD196" s="22">
        <v>0.24568965517241378</v>
      </c>
      <c r="AE196">
        <v>0.1384213910215196</v>
      </c>
      <c r="AF196">
        <v>0.127075375364018</v>
      </c>
      <c r="AG196">
        <v>0.2654967663855376</v>
      </c>
      <c r="AH196">
        <v>0.16394992625089821</v>
      </c>
      <c r="AI196">
        <v>9.927763700313906E-2</v>
      </c>
      <c r="AJ196">
        <v>0.26322756325403729</v>
      </c>
      <c r="AM196">
        <f t="shared" si="3"/>
        <v>28.95</v>
      </c>
    </row>
    <row r="197" spans="1:39">
      <c r="A197" s="20">
        <v>768</v>
      </c>
      <c r="B197" t="s">
        <v>10</v>
      </c>
      <c r="C197" s="22" t="s">
        <v>63</v>
      </c>
      <c r="D197">
        <v>6360</v>
      </c>
      <c r="E197">
        <v>40</v>
      </c>
      <c r="F197" s="43">
        <v>159</v>
      </c>
      <c r="G197">
        <v>274</v>
      </c>
      <c r="H197" s="43">
        <v>0.145985401459854</v>
      </c>
      <c r="I197" s="20">
        <v>0.76611111099999996</v>
      </c>
      <c r="J197">
        <v>0.78444444400000002</v>
      </c>
      <c r="K197">
        <v>1</v>
      </c>
      <c r="L197">
        <v>0.94777777799999996</v>
      </c>
      <c r="M197">
        <v>0.95111111100000001</v>
      </c>
      <c r="N197">
        <v>0.92111111099999998</v>
      </c>
      <c r="O197">
        <v>0.76611111099999996</v>
      </c>
      <c r="P197">
        <v>0.89</v>
      </c>
      <c r="Q197">
        <v>0.85555555599999999</v>
      </c>
      <c r="R197">
        <v>0.84444444399999996</v>
      </c>
      <c r="S197">
        <v>0.83166666700000003</v>
      </c>
      <c r="T197" s="22">
        <v>0.78444444400000002</v>
      </c>
      <c r="U197" s="20" t="s">
        <v>143</v>
      </c>
      <c r="V197" t="s">
        <v>142</v>
      </c>
      <c r="W197">
        <v>3</v>
      </c>
      <c r="X197" s="22">
        <v>1</v>
      </c>
      <c r="Y197" s="20">
        <v>22500</v>
      </c>
      <c r="Z197">
        <v>70200</v>
      </c>
      <c r="AA197">
        <v>47700</v>
      </c>
      <c r="AB197" s="22">
        <v>10800</v>
      </c>
      <c r="AC197" s="20">
        <v>-0.5145631067961165</v>
      </c>
      <c r="AD197" s="22">
        <v>0.63076923076923075</v>
      </c>
      <c r="AE197">
        <v>1.2911444704586146E-2</v>
      </c>
      <c r="AF197">
        <v>4.028370747830877E-2</v>
      </c>
      <c r="AG197">
        <v>5.3195152182894917E-2</v>
      </c>
      <c r="AH197">
        <v>2.7372262773722629E-2</v>
      </c>
      <c r="AI197">
        <v>6.1974934582013494E-3</v>
      </c>
      <c r="AJ197">
        <v>3.3569756231923979E-2</v>
      </c>
      <c r="AM197">
        <f t="shared" si="3"/>
        <v>31.8</v>
      </c>
    </row>
    <row r="198" spans="1:39">
      <c r="A198" s="20">
        <v>769</v>
      </c>
      <c r="B198" t="s">
        <v>10</v>
      </c>
      <c r="C198" s="22" t="s">
        <v>63</v>
      </c>
      <c r="D198">
        <v>4970</v>
      </c>
      <c r="E198">
        <v>55</v>
      </c>
      <c r="F198" s="43">
        <v>90.36363636363636</v>
      </c>
      <c r="G198">
        <v>274</v>
      </c>
      <c r="H198" s="43">
        <v>0.20072992700729927</v>
      </c>
      <c r="I198" s="20">
        <v>0.93625771099999999</v>
      </c>
      <c r="J198">
        <v>1.04318026</v>
      </c>
      <c r="K198">
        <v>1</v>
      </c>
      <c r="L198">
        <v>0.93625771099999999</v>
      </c>
      <c r="M198">
        <v>0.91638108299999999</v>
      </c>
      <c r="N198">
        <v>0.96915695700000004</v>
      </c>
      <c r="O198">
        <v>0.93625771099999999</v>
      </c>
      <c r="P198">
        <v>0.98834818400000002</v>
      </c>
      <c r="Q198">
        <v>1.0061686089999999</v>
      </c>
      <c r="R198">
        <v>0.92803289899999997</v>
      </c>
      <c r="S198">
        <v>1.0006854009999999</v>
      </c>
      <c r="T198" s="22">
        <v>1.04318026</v>
      </c>
      <c r="U198" s="20" t="s">
        <v>142</v>
      </c>
      <c r="V198" t="s">
        <v>144</v>
      </c>
      <c r="W198">
        <v>13</v>
      </c>
      <c r="X198" s="22"/>
      <c r="Y198" s="20">
        <v>378900</v>
      </c>
      <c r="Z198">
        <v>0</v>
      </c>
      <c r="AA198">
        <v>0</v>
      </c>
      <c r="AB198" s="22">
        <v>0</v>
      </c>
      <c r="AC198" s="20">
        <v>1</v>
      </c>
      <c r="AD198" s="22" t="s">
        <v>145</v>
      </c>
      <c r="AE198">
        <v>0.27823877572001349</v>
      </c>
      <c r="AF198">
        <v>0</v>
      </c>
      <c r="AG198">
        <v>0.27823877572001349</v>
      </c>
      <c r="AH198">
        <v>0</v>
      </c>
      <c r="AI198">
        <v>0</v>
      </c>
      <c r="AJ198">
        <v>0</v>
      </c>
      <c r="AM198">
        <f t="shared" si="3"/>
        <v>24.85</v>
      </c>
    </row>
    <row r="199" spans="1:39">
      <c r="A199" s="20">
        <v>772</v>
      </c>
      <c r="B199" t="s">
        <v>12</v>
      </c>
      <c r="C199" s="22" t="s">
        <v>63</v>
      </c>
      <c r="D199">
        <v>6585</v>
      </c>
      <c r="E199">
        <v>1545</v>
      </c>
      <c r="F199" s="43">
        <v>4.2621359223300974</v>
      </c>
      <c r="G199">
        <v>274</v>
      </c>
      <c r="H199" s="43">
        <v>5.6386861313868613</v>
      </c>
      <c r="I199" s="20">
        <v>1.017376914</v>
      </c>
      <c r="J199">
        <v>0.42035581300000002</v>
      </c>
      <c r="K199">
        <v>1</v>
      </c>
      <c r="L199">
        <v>0.72114191100000002</v>
      </c>
      <c r="M199">
        <v>0.98841539099999998</v>
      </c>
      <c r="N199">
        <v>1.174596607</v>
      </c>
      <c r="O199">
        <v>1.017376914</v>
      </c>
      <c r="P199">
        <v>1.0810922629999999</v>
      </c>
      <c r="Q199">
        <v>0.18452627199999999</v>
      </c>
      <c r="R199">
        <v>0.344228382</v>
      </c>
      <c r="S199">
        <v>0.49813818799999998</v>
      </c>
      <c r="T199" s="22">
        <v>0.42035581300000002</v>
      </c>
      <c r="U199" s="20" t="s">
        <v>142</v>
      </c>
      <c r="V199" t="s">
        <v>142</v>
      </c>
      <c r="W199">
        <v>2</v>
      </c>
      <c r="X199" s="22">
        <v>3</v>
      </c>
      <c r="Y199" s="20">
        <v>773100</v>
      </c>
      <c r="Z199">
        <v>42300</v>
      </c>
      <c r="AA199">
        <v>778500</v>
      </c>
      <c r="AB199" s="22">
        <v>0</v>
      </c>
      <c r="AC199" s="20">
        <v>0.89624724061810157</v>
      </c>
      <c r="AD199" s="22">
        <v>1</v>
      </c>
      <c r="AE199">
        <v>0.428478792211895</v>
      </c>
      <c r="AF199">
        <v>2.3444124835807992E-2</v>
      </c>
      <c r="AG199">
        <v>0.45192291704770299</v>
      </c>
      <c r="AH199">
        <v>0.43147165921221092</v>
      </c>
      <c r="AI199">
        <v>0</v>
      </c>
      <c r="AJ199">
        <v>0.43147165921221092</v>
      </c>
      <c r="AM199">
        <f t="shared" si="3"/>
        <v>32.924999999999997</v>
      </c>
    </row>
    <row r="200" spans="1:39">
      <c r="A200" s="20">
        <v>774</v>
      </c>
      <c r="B200" t="s">
        <v>10</v>
      </c>
      <c r="C200" s="22" t="s">
        <v>63</v>
      </c>
      <c r="D200">
        <v>8810</v>
      </c>
      <c r="E200">
        <v>30</v>
      </c>
      <c r="F200" s="43">
        <v>293.66666666666669</v>
      </c>
      <c r="G200">
        <v>274</v>
      </c>
      <c r="H200" s="43">
        <v>0.10948905109489052</v>
      </c>
      <c r="I200" s="20">
        <v>0.81530612199999997</v>
      </c>
      <c r="J200">
        <v>0.75306122399999997</v>
      </c>
      <c r="K200">
        <v>1</v>
      </c>
      <c r="L200">
        <v>1.004591837</v>
      </c>
      <c r="M200">
        <v>0.96224489800000002</v>
      </c>
      <c r="N200">
        <v>0.79744897999999997</v>
      </c>
      <c r="O200">
        <v>0.81530612199999997</v>
      </c>
      <c r="P200">
        <v>0.96938775499999996</v>
      </c>
      <c r="Q200">
        <v>0.85612244900000001</v>
      </c>
      <c r="R200">
        <v>0.94948979600000005</v>
      </c>
      <c r="S200">
        <v>0.94489795899999995</v>
      </c>
      <c r="T200" s="22">
        <v>0.75306122399999997</v>
      </c>
      <c r="U200" s="20" t="s">
        <v>142</v>
      </c>
      <c r="V200" t="s">
        <v>142</v>
      </c>
      <c r="W200">
        <v>6</v>
      </c>
      <c r="X200" s="22">
        <v>6</v>
      </c>
      <c r="Y200" s="20">
        <v>548100</v>
      </c>
      <c r="Z200">
        <v>84600</v>
      </c>
      <c r="AA200">
        <v>470700</v>
      </c>
      <c r="AB200" s="22">
        <v>0</v>
      </c>
      <c r="AC200" s="20">
        <v>0.73257467994310099</v>
      </c>
      <c r="AD200" s="22">
        <v>1</v>
      </c>
      <c r="AE200">
        <v>0.22705618200949484</v>
      </c>
      <c r="AF200">
        <v>3.5046438602450762E-2</v>
      </c>
      <c r="AG200">
        <v>0.26210262061194561</v>
      </c>
      <c r="AH200">
        <v>0.19499241903278458</v>
      </c>
      <c r="AI200">
        <v>0</v>
      </c>
      <c r="AJ200">
        <v>0.19499241903278458</v>
      </c>
      <c r="AM200">
        <f t="shared" si="3"/>
        <v>44.05</v>
      </c>
    </row>
    <row r="201" spans="1:39">
      <c r="A201" s="20">
        <v>776</v>
      </c>
      <c r="B201" t="s">
        <v>10</v>
      </c>
      <c r="C201" s="22" t="s">
        <v>63</v>
      </c>
      <c r="D201">
        <v>5915</v>
      </c>
      <c r="E201">
        <v>60</v>
      </c>
      <c r="F201" s="43">
        <v>98.583333333333329</v>
      </c>
      <c r="G201">
        <v>274</v>
      </c>
      <c r="H201" s="43">
        <v>0.21897810218978103</v>
      </c>
      <c r="I201" s="20">
        <v>1.069282649</v>
      </c>
      <c r="J201">
        <v>0.77743715499999999</v>
      </c>
      <c r="K201">
        <v>1</v>
      </c>
      <c r="L201">
        <v>1.061312078</v>
      </c>
      <c r="M201">
        <v>1.121397915</v>
      </c>
      <c r="N201">
        <v>1.1085223790000001</v>
      </c>
      <c r="O201">
        <v>1.069282649</v>
      </c>
      <c r="P201">
        <v>0.82709993900000001</v>
      </c>
      <c r="Q201">
        <v>0.85162477000000003</v>
      </c>
      <c r="R201">
        <v>0.82893930100000002</v>
      </c>
      <c r="S201">
        <v>0.815450644</v>
      </c>
      <c r="T201" s="22">
        <v>0.77743715499999999</v>
      </c>
      <c r="U201" s="20" t="s">
        <v>143</v>
      </c>
      <c r="V201" t="s">
        <v>143</v>
      </c>
      <c r="W201">
        <v>6</v>
      </c>
      <c r="X201" s="22">
        <v>8</v>
      </c>
      <c r="Y201" s="20">
        <v>225900</v>
      </c>
      <c r="Z201">
        <v>169200</v>
      </c>
      <c r="AA201">
        <v>200700</v>
      </c>
      <c r="AB201" s="22">
        <v>73800</v>
      </c>
      <c r="AC201" s="20">
        <v>0.14350797266514806</v>
      </c>
      <c r="AD201" s="22">
        <v>0.46229508196721314</v>
      </c>
      <c r="AE201">
        <v>0.13938335667701193</v>
      </c>
      <c r="AF201">
        <v>0.10439868946325993</v>
      </c>
      <c r="AG201">
        <v>0.24378204614027188</v>
      </c>
      <c r="AH201">
        <v>0.12383461569312215</v>
      </c>
      <c r="AI201">
        <v>4.5535598595677206E-2</v>
      </c>
      <c r="AJ201">
        <v>0.16937021428879936</v>
      </c>
      <c r="AM201">
        <f t="shared" si="3"/>
        <v>29.574999999999999</v>
      </c>
    </row>
    <row r="202" spans="1:39">
      <c r="A202" s="20">
        <v>777</v>
      </c>
      <c r="B202" t="s">
        <v>10</v>
      </c>
      <c r="C202" s="22" t="s">
        <v>63</v>
      </c>
      <c r="D202">
        <v>2750</v>
      </c>
      <c r="E202">
        <v>110</v>
      </c>
      <c r="F202" s="43">
        <v>25</v>
      </c>
      <c r="G202">
        <v>299</v>
      </c>
      <c r="H202" s="43">
        <v>0.36789297658862874</v>
      </c>
      <c r="I202" s="20">
        <v>0.86540483700000004</v>
      </c>
      <c r="J202">
        <v>1.0136698209999999</v>
      </c>
      <c r="K202">
        <v>1</v>
      </c>
      <c r="L202">
        <v>1.049421661</v>
      </c>
      <c r="M202">
        <v>0.97686645599999999</v>
      </c>
      <c r="N202">
        <v>0.95478443700000004</v>
      </c>
      <c r="O202">
        <v>0.86540483700000004</v>
      </c>
      <c r="P202">
        <v>0.87802313399999998</v>
      </c>
      <c r="Q202">
        <v>0.91377497399999996</v>
      </c>
      <c r="R202">
        <v>0.93901156699999999</v>
      </c>
      <c r="S202">
        <v>1.1661409039999999</v>
      </c>
      <c r="T202" s="22">
        <v>1.0136698209999999</v>
      </c>
      <c r="U202" s="20" t="s">
        <v>143</v>
      </c>
      <c r="V202" t="s">
        <v>143</v>
      </c>
      <c r="W202">
        <v>4</v>
      </c>
      <c r="X202" s="22">
        <v>4</v>
      </c>
      <c r="Y202" s="20">
        <v>19800</v>
      </c>
      <c r="Z202">
        <v>194400</v>
      </c>
      <c r="AA202">
        <v>50400</v>
      </c>
      <c r="AB202" s="22">
        <v>112500</v>
      </c>
      <c r="AC202" s="20">
        <v>-0.81512605042016806</v>
      </c>
      <c r="AD202" s="22">
        <v>-0.38121546961325969</v>
      </c>
      <c r="AE202">
        <v>2.4080267558528427E-2</v>
      </c>
      <c r="AF202">
        <v>0.2364244451200973</v>
      </c>
      <c r="AG202">
        <v>0.26050471267862574</v>
      </c>
      <c r="AH202">
        <v>6.1295226512617818E-2</v>
      </c>
      <c r="AI202">
        <v>0.13681970203709334</v>
      </c>
      <c r="AJ202">
        <v>0.19811492854971116</v>
      </c>
      <c r="AM202">
        <f t="shared" si="3"/>
        <v>13.75</v>
      </c>
    </row>
    <row r="203" spans="1:39">
      <c r="A203" s="20">
        <v>778</v>
      </c>
      <c r="B203" t="s">
        <v>10</v>
      </c>
      <c r="C203" s="22" t="s">
        <v>63</v>
      </c>
      <c r="D203">
        <v>7660</v>
      </c>
      <c r="E203">
        <v>60</v>
      </c>
      <c r="F203" s="43">
        <v>127.66666666666667</v>
      </c>
      <c r="G203">
        <v>305</v>
      </c>
      <c r="H203" s="43">
        <v>0.19672131147540983</v>
      </c>
      <c r="I203" s="20">
        <v>0.86266333100000003</v>
      </c>
      <c r="J203">
        <v>0.75674172900000003</v>
      </c>
      <c r="K203">
        <v>1</v>
      </c>
      <c r="L203">
        <v>0.89463441799999999</v>
      </c>
      <c r="M203">
        <v>0.97859327200000001</v>
      </c>
      <c r="N203">
        <v>0.93188768399999999</v>
      </c>
      <c r="O203">
        <v>0.86266333100000003</v>
      </c>
      <c r="P203">
        <v>0.81567973299999996</v>
      </c>
      <c r="Q203">
        <v>0.82958020600000004</v>
      </c>
      <c r="R203">
        <v>0.81011954399999997</v>
      </c>
      <c r="S203">
        <v>0.72921879300000003</v>
      </c>
      <c r="T203" s="22">
        <v>0.75674172900000003</v>
      </c>
      <c r="U203" s="20" t="s">
        <v>143</v>
      </c>
      <c r="V203" t="s">
        <v>143</v>
      </c>
      <c r="W203">
        <v>3</v>
      </c>
      <c r="X203" s="22">
        <v>3</v>
      </c>
      <c r="Y203" s="20">
        <v>0</v>
      </c>
      <c r="Z203">
        <v>126000</v>
      </c>
      <c r="AA203">
        <v>143100</v>
      </c>
      <c r="AB203" s="22">
        <v>275400</v>
      </c>
      <c r="AC203" s="20">
        <v>-1</v>
      </c>
      <c r="AD203" s="22">
        <v>-0.31612903225806449</v>
      </c>
      <c r="AE203">
        <v>0</v>
      </c>
      <c r="AF203">
        <v>5.3931430038950477E-2</v>
      </c>
      <c r="AG203">
        <v>5.3931430038950477E-2</v>
      </c>
      <c r="AH203">
        <v>6.1250695544236615E-2</v>
      </c>
      <c r="AI203">
        <v>0.11787869708513461</v>
      </c>
      <c r="AJ203">
        <v>0.17912939262937122</v>
      </c>
      <c r="AM203">
        <f t="shared" si="3"/>
        <v>38.299999999999997</v>
      </c>
    </row>
    <row r="204" spans="1:39">
      <c r="A204" s="20">
        <v>779</v>
      </c>
      <c r="B204" t="s">
        <v>10</v>
      </c>
      <c r="C204" s="22" t="s">
        <v>63</v>
      </c>
      <c r="D204">
        <v>12690</v>
      </c>
      <c r="E204">
        <v>30</v>
      </c>
      <c r="F204" s="43">
        <v>423</v>
      </c>
      <c r="G204">
        <v>366</v>
      </c>
      <c r="H204" s="43">
        <v>8.1967213114754092E-2</v>
      </c>
      <c r="I204" s="20">
        <v>0.60245587099999998</v>
      </c>
      <c r="J204">
        <v>0.56500383700000001</v>
      </c>
      <c r="K204">
        <v>1</v>
      </c>
      <c r="L204">
        <v>0.76561780499999998</v>
      </c>
      <c r="M204">
        <v>0.72555640799999999</v>
      </c>
      <c r="N204">
        <v>0.66231772799999999</v>
      </c>
      <c r="O204">
        <v>0.60245587099999998</v>
      </c>
      <c r="P204">
        <v>0.58879508800000002</v>
      </c>
      <c r="Q204">
        <v>0.58879508800000002</v>
      </c>
      <c r="R204">
        <v>0.55149654599999998</v>
      </c>
      <c r="S204">
        <v>0.56454336100000002</v>
      </c>
      <c r="T204" s="22">
        <v>0.56500383700000001</v>
      </c>
      <c r="U204" s="20" t="s">
        <v>143</v>
      </c>
      <c r="V204" t="s">
        <v>142</v>
      </c>
      <c r="W204">
        <v>4</v>
      </c>
      <c r="X204" s="22">
        <v>1</v>
      </c>
      <c r="Y204" s="20">
        <v>1161900</v>
      </c>
      <c r="Z204">
        <v>328500</v>
      </c>
      <c r="AA204">
        <v>718200</v>
      </c>
      <c r="AB204" s="22">
        <v>62100</v>
      </c>
      <c r="AC204" s="20">
        <v>0.5591787439613527</v>
      </c>
      <c r="AD204" s="22">
        <v>0.84083044982698962</v>
      </c>
      <c r="AE204">
        <v>0.25016470952989961</v>
      </c>
      <c r="AF204">
        <v>7.0728209898073865E-2</v>
      </c>
      <c r="AG204">
        <v>0.32089291942797349</v>
      </c>
      <c r="AH204">
        <v>0.15463318218811767</v>
      </c>
      <c r="AI204">
        <v>1.3370538309498895E-2</v>
      </c>
      <c r="AJ204">
        <v>0.16800372049761655</v>
      </c>
      <c r="AM204">
        <f t="shared" si="3"/>
        <v>63.45</v>
      </c>
    </row>
    <row r="205" spans="1:39">
      <c r="A205" s="20">
        <v>780</v>
      </c>
      <c r="B205" t="s">
        <v>10</v>
      </c>
      <c r="C205" s="22" t="s">
        <v>63</v>
      </c>
      <c r="D205">
        <v>15810</v>
      </c>
      <c r="E205">
        <v>250</v>
      </c>
      <c r="F205" s="43">
        <v>63.24</v>
      </c>
      <c r="G205">
        <v>366</v>
      </c>
      <c r="H205" s="43">
        <v>0.68306010928961747</v>
      </c>
      <c r="I205" s="20">
        <v>0.959138771</v>
      </c>
      <c r="J205">
        <v>0.72135784999999997</v>
      </c>
      <c r="K205">
        <v>1</v>
      </c>
      <c r="L205">
        <v>0.84252711000000002</v>
      </c>
      <c r="M205">
        <v>0.94326575499999998</v>
      </c>
      <c r="N205">
        <v>0.92629262899999998</v>
      </c>
      <c r="O205">
        <v>0.959138771</v>
      </c>
      <c r="P205">
        <v>0.96008172199999997</v>
      </c>
      <c r="Q205">
        <v>0.746031746</v>
      </c>
      <c r="R205">
        <v>0.76756247099999997</v>
      </c>
      <c r="S205">
        <v>0.76599088500000001</v>
      </c>
      <c r="T205" s="22">
        <v>0.72135784999999997</v>
      </c>
      <c r="U205" s="20" t="s">
        <v>142</v>
      </c>
      <c r="V205" t="s">
        <v>142</v>
      </c>
      <c r="W205">
        <v>5</v>
      </c>
      <c r="X205" s="22">
        <v>1</v>
      </c>
      <c r="Y205" s="20">
        <v>531900</v>
      </c>
      <c r="Z205">
        <v>86400</v>
      </c>
      <c r="AA205">
        <v>729000</v>
      </c>
      <c r="AB205" s="22">
        <v>8100</v>
      </c>
      <c r="AC205" s="20">
        <v>0.72052401746724892</v>
      </c>
      <c r="AD205" s="22">
        <v>0.97802197802197799</v>
      </c>
      <c r="AE205">
        <v>9.1921485675179646E-2</v>
      </c>
      <c r="AF205">
        <v>1.4931408840638318E-2</v>
      </c>
      <c r="AG205">
        <v>0.10685289451581796</v>
      </c>
      <c r="AH205">
        <v>0.12598376209288581</v>
      </c>
      <c r="AI205">
        <v>1.3998195788098423E-3</v>
      </c>
      <c r="AJ205">
        <v>0.12738358167169564</v>
      </c>
      <c r="AM205">
        <f t="shared" si="3"/>
        <v>79.05</v>
      </c>
    </row>
    <row r="206" spans="1:39">
      <c r="A206" s="20">
        <v>781</v>
      </c>
      <c r="B206" t="s">
        <v>12</v>
      </c>
      <c r="C206" s="22" t="s">
        <v>63</v>
      </c>
      <c r="D206">
        <v>24930</v>
      </c>
      <c r="E206">
        <v>7980</v>
      </c>
      <c r="F206" s="43">
        <v>3.1240601503759398</v>
      </c>
      <c r="G206">
        <v>366</v>
      </c>
      <c r="H206" s="43">
        <v>21.803278688524589</v>
      </c>
      <c r="I206" s="20">
        <v>0.91502132400000002</v>
      </c>
      <c r="J206">
        <v>0.58869057000000002</v>
      </c>
      <c r="K206">
        <v>1</v>
      </c>
      <c r="L206">
        <v>0.91628494699999996</v>
      </c>
      <c r="M206">
        <v>0.84504817600000004</v>
      </c>
      <c r="N206">
        <v>0.818512083</v>
      </c>
      <c r="O206">
        <v>0.91502132400000002</v>
      </c>
      <c r="P206">
        <v>0.60290633400000004</v>
      </c>
      <c r="Q206">
        <v>0.59800979300000001</v>
      </c>
      <c r="R206">
        <v>0.64855473100000005</v>
      </c>
      <c r="S206">
        <v>0.56799873599999995</v>
      </c>
      <c r="T206" s="22">
        <v>0.58869057000000002</v>
      </c>
      <c r="U206" s="20" t="s">
        <v>146</v>
      </c>
      <c r="V206" t="s">
        <v>143</v>
      </c>
      <c r="W206">
        <v>2</v>
      </c>
      <c r="X206" s="22">
        <v>6</v>
      </c>
      <c r="Y206" s="20">
        <v>2641500</v>
      </c>
      <c r="Z206">
        <v>78300</v>
      </c>
      <c r="AA206">
        <v>2210400</v>
      </c>
      <c r="AB206" s="22">
        <v>148500</v>
      </c>
      <c r="AC206" s="20">
        <v>0.94242223692918592</v>
      </c>
      <c r="AD206" s="22">
        <v>0.87409385730637157</v>
      </c>
      <c r="AE206">
        <v>0.28949912213213391</v>
      </c>
      <c r="AF206">
        <v>8.5814049831331E-3</v>
      </c>
      <c r="AG206">
        <v>0.298080527115267</v>
      </c>
      <c r="AH206">
        <v>0.24225207630545856</v>
      </c>
      <c r="AI206">
        <v>1.6275078416286917E-2</v>
      </c>
      <c r="AJ206">
        <v>0.25852715472174548</v>
      </c>
      <c r="AM206">
        <f t="shared" si="3"/>
        <v>124.65</v>
      </c>
    </row>
    <row r="207" spans="1:39">
      <c r="A207" s="20">
        <v>782</v>
      </c>
      <c r="B207" t="s">
        <v>10</v>
      </c>
      <c r="C207" s="22" t="s">
        <v>63</v>
      </c>
      <c r="D207">
        <v>5225</v>
      </c>
      <c r="E207">
        <v>75</v>
      </c>
      <c r="F207" s="43">
        <v>69.666666666666671</v>
      </c>
      <c r="G207">
        <v>366</v>
      </c>
      <c r="H207" s="43">
        <v>0.20491803278688525</v>
      </c>
      <c r="I207" s="20">
        <v>0.76427651399999996</v>
      </c>
      <c r="J207">
        <v>0.82610562499999995</v>
      </c>
      <c r="K207">
        <v>1</v>
      </c>
      <c r="L207">
        <v>1.0639759550000001</v>
      </c>
      <c r="M207">
        <v>0.96006869900000003</v>
      </c>
      <c r="N207">
        <v>0.84113353400000002</v>
      </c>
      <c r="O207">
        <v>0.76427651399999996</v>
      </c>
      <c r="P207">
        <v>0.76170030099999997</v>
      </c>
      <c r="Q207">
        <v>0.84285100899999998</v>
      </c>
      <c r="R207">
        <v>0.89308716200000005</v>
      </c>
      <c r="S207">
        <v>0.89136968699999997</v>
      </c>
      <c r="T207" s="22">
        <v>0.82610562499999995</v>
      </c>
      <c r="U207" s="20" t="s">
        <v>143</v>
      </c>
      <c r="V207" t="s">
        <v>143</v>
      </c>
      <c r="W207">
        <v>4</v>
      </c>
      <c r="X207" s="22">
        <v>2</v>
      </c>
      <c r="Y207" s="20">
        <v>78300</v>
      </c>
      <c r="Z207">
        <v>226800</v>
      </c>
      <c r="AA207">
        <v>36000</v>
      </c>
      <c r="AB207" s="22">
        <v>108000</v>
      </c>
      <c r="AC207" s="20">
        <v>-0.48672566371681414</v>
      </c>
      <c r="AD207" s="22">
        <v>-0.5</v>
      </c>
      <c r="AE207">
        <v>4.0944387795121183E-2</v>
      </c>
      <c r="AF207">
        <v>0.11859753706173033</v>
      </c>
      <c r="AG207">
        <v>0.15954192485685151</v>
      </c>
      <c r="AH207">
        <v>1.8825005882814338E-2</v>
      </c>
      <c r="AI207">
        <v>5.6475017648443017E-2</v>
      </c>
      <c r="AJ207">
        <v>7.5300023531257351E-2</v>
      </c>
      <c r="AM207">
        <f t="shared" si="3"/>
        <v>26.125</v>
      </c>
    </row>
    <row r="208" spans="1:39">
      <c r="A208" s="20">
        <v>783</v>
      </c>
      <c r="B208" t="s">
        <v>10</v>
      </c>
      <c r="C208" s="22" t="s">
        <v>63</v>
      </c>
      <c r="D208">
        <v>4665</v>
      </c>
      <c r="E208">
        <v>60</v>
      </c>
      <c r="F208" s="43">
        <v>77.75</v>
      </c>
      <c r="G208">
        <v>366</v>
      </c>
      <c r="H208" s="43">
        <v>0.16393442622950818</v>
      </c>
      <c r="I208" s="20">
        <v>1.0143718129999999</v>
      </c>
      <c r="J208">
        <v>0.89800648999999999</v>
      </c>
      <c r="K208">
        <v>1</v>
      </c>
      <c r="L208">
        <v>0.81038479399999996</v>
      </c>
      <c r="M208">
        <v>0.88085303699999995</v>
      </c>
      <c r="N208">
        <v>0.98562818699999999</v>
      </c>
      <c r="O208">
        <v>1.0143718129999999</v>
      </c>
      <c r="P208">
        <v>1.0199350949999999</v>
      </c>
      <c r="Q208">
        <v>0.92304126099999995</v>
      </c>
      <c r="R208">
        <v>0.92814093600000003</v>
      </c>
      <c r="S208">
        <v>0.94343996299999999</v>
      </c>
      <c r="T208" s="22">
        <v>0.89800648999999999</v>
      </c>
      <c r="U208" s="20" t="s">
        <v>143</v>
      </c>
      <c r="V208" t="s">
        <v>143</v>
      </c>
      <c r="W208">
        <v>6</v>
      </c>
      <c r="X208" s="22">
        <v>6</v>
      </c>
      <c r="Y208" s="20">
        <v>69300</v>
      </c>
      <c r="Z208">
        <v>198900</v>
      </c>
      <c r="AA208">
        <v>900</v>
      </c>
      <c r="AB208" s="22">
        <v>178200</v>
      </c>
      <c r="AC208" s="20">
        <v>-0.48322147651006714</v>
      </c>
      <c r="AD208" s="22">
        <v>-0.98994974874371855</v>
      </c>
      <c r="AE208">
        <v>4.0588266301196566E-2</v>
      </c>
      <c r="AF208">
        <v>0.11649359548784988</v>
      </c>
      <c r="AG208">
        <v>0.15708186178904643</v>
      </c>
      <c r="AH208">
        <v>5.2712034157398129E-4</v>
      </c>
      <c r="AI208">
        <v>0.1043698276316483</v>
      </c>
      <c r="AJ208">
        <v>0.10489694797322228</v>
      </c>
      <c r="AM208">
        <f t="shared" si="3"/>
        <v>23.324999999999999</v>
      </c>
    </row>
    <row r="209" spans="1:39">
      <c r="A209" s="20">
        <v>785</v>
      </c>
      <c r="B209" t="s">
        <v>12</v>
      </c>
      <c r="C209" s="22" t="s">
        <v>63</v>
      </c>
      <c r="D209">
        <v>13100</v>
      </c>
      <c r="E209">
        <v>800</v>
      </c>
      <c r="F209" s="43">
        <v>16.375</v>
      </c>
      <c r="G209">
        <v>366</v>
      </c>
      <c r="H209" s="43">
        <v>2.1857923497267762</v>
      </c>
      <c r="I209" s="20">
        <v>0.41842900300000002</v>
      </c>
      <c r="K209">
        <v>1</v>
      </c>
      <c r="L209">
        <v>0.95233299800000004</v>
      </c>
      <c r="M209">
        <v>0.59399127200000001</v>
      </c>
      <c r="N209">
        <v>0.64837193699999995</v>
      </c>
      <c r="O209">
        <v>0.41842900300000002</v>
      </c>
      <c r="T209" s="22"/>
      <c r="U209" s="20" t="s">
        <v>142</v>
      </c>
      <c r="V209" t="s">
        <v>142</v>
      </c>
      <c r="W209">
        <v>2</v>
      </c>
      <c r="X209" s="22">
        <v>4</v>
      </c>
      <c r="Y209" s="20">
        <v>1566900</v>
      </c>
      <c r="Z209">
        <v>170100</v>
      </c>
      <c r="AA209">
        <v>1323000</v>
      </c>
      <c r="AB209" s="22">
        <v>0</v>
      </c>
      <c r="AC209" s="20">
        <v>0.80414507772020727</v>
      </c>
      <c r="AD209" s="22">
        <v>1</v>
      </c>
      <c r="AE209">
        <v>0.3268051558002753</v>
      </c>
      <c r="AF209">
        <v>3.5477412088599676E-2</v>
      </c>
      <c r="AG209">
        <v>0.36228256788887497</v>
      </c>
      <c r="AH209">
        <v>0.27593542735577525</v>
      </c>
      <c r="AI209">
        <v>0</v>
      </c>
      <c r="AJ209">
        <v>0.27593542735577525</v>
      </c>
      <c r="AM209">
        <f t="shared" si="3"/>
        <v>65.5</v>
      </c>
    </row>
    <row r="210" spans="1:39">
      <c r="A210" s="20">
        <v>787</v>
      </c>
      <c r="B210" t="s">
        <v>10</v>
      </c>
      <c r="C210" s="22" t="s">
        <v>63</v>
      </c>
      <c r="D210">
        <v>3410</v>
      </c>
      <c r="E210">
        <v>110</v>
      </c>
      <c r="F210" s="43">
        <v>31</v>
      </c>
      <c r="G210">
        <v>366</v>
      </c>
      <c r="H210" s="43">
        <v>0.30054644808743169</v>
      </c>
      <c r="I210" s="20">
        <v>0.70463887300000005</v>
      </c>
      <c r="J210">
        <v>0.61655901400000002</v>
      </c>
      <c r="K210">
        <v>1</v>
      </c>
      <c r="L210">
        <v>0.964180857</v>
      </c>
      <c r="M210">
        <v>0.81385789799999997</v>
      </c>
      <c r="N210">
        <v>0.53552554299999999</v>
      </c>
      <c r="O210">
        <v>0.70463887300000005</v>
      </c>
      <c r="P210">
        <v>0.510863183</v>
      </c>
      <c r="Q210">
        <v>0.58896065799999997</v>
      </c>
      <c r="R210">
        <v>0.60598943000000005</v>
      </c>
      <c r="S210">
        <v>0.60070463900000004</v>
      </c>
      <c r="T210" s="22">
        <v>0.61655901400000002</v>
      </c>
      <c r="U210" s="20" t="s">
        <v>142</v>
      </c>
      <c r="V210" t="s">
        <v>142</v>
      </c>
      <c r="W210">
        <v>6</v>
      </c>
      <c r="X210" s="22">
        <v>6</v>
      </c>
      <c r="Y210" s="20">
        <v>696600</v>
      </c>
      <c r="Z210">
        <v>113400</v>
      </c>
      <c r="AA210">
        <v>279900</v>
      </c>
      <c r="AB210" s="22">
        <v>0</v>
      </c>
      <c r="AC210" s="20">
        <v>0.72</v>
      </c>
      <c r="AD210" s="22">
        <v>1</v>
      </c>
      <c r="AE210">
        <v>0.55814624296908799</v>
      </c>
      <c r="AF210">
        <v>9.0861016297293401E-2</v>
      </c>
      <c r="AG210">
        <v>0.64900725926638136</v>
      </c>
      <c r="AH210">
        <v>0.22426806403538291</v>
      </c>
      <c r="AI210">
        <v>0</v>
      </c>
      <c r="AJ210">
        <v>0.22426806403538291</v>
      </c>
      <c r="AM210">
        <f t="shared" si="3"/>
        <v>17.05</v>
      </c>
    </row>
    <row r="211" spans="1:39">
      <c r="A211" s="20">
        <v>788</v>
      </c>
      <c r="B211" t="s">
        <v>10</v>
      </c>
      <c r="C211" s="22" t="s">
        <v>63</v>
      </c>
      <c r="D211">
        <v>8785</v>
      </c>
      <c r="E211">
        <v>105</v>
      </c>
      <c r="F211" s="43">
        <v>83.666666666666671</v>
      </c>
      <c r="G211">
        <v>366</v>
      </c>
      <c r="H211" s="43">
        <v>0.28688524590163933</v>
      </c>
      <c r="I211" s="20">
        <v>0.54242185399999998</v>
      </c>
      <c r="K211">
        <v>1</v>
      </c>
      <c r="L211">
        <v>0.96059889700000001</v>
      </c>
      <c r="M211">
        <v>0.72550564699999998</v>
      </c>
      <c r="N211">
        <v>0.71315996800000003</v>
      </c>
      <c r="O211">
        <v>0.54242185399999998</v>
      </c>
      <c r="T211" s="22"/>
      <c r="U211" s="20" t="s">
        <v>142</v>
      </c>
      <c r="V211" t="s">
        <v>144</v>
      </c>
      <c r="W211">
        <v>2</v>
      </c>
      <c r="X211" s="22"/>
      <c r="Y211" s="20">
        <v>641700</v>
      </c>
      <c r="Z211">
        <v>10800</v>
      </c>
      <c r="AA211">
        <v>0</v>
      </c>
      <c r="AB211" s="22">
        <v>0</v>
      </c>
      <c r="AC211" s="20">
        <v>0.96689655172413791</v>
      </c>
      <c r="AD211" s="22" t="s">
        <v>145</v>
      </c>
      <c r="AE211">
        <v>0.19957640165333981</v>
      </c>
      <c r="AF211">
        <v>3.3589296210940782E-3</v>
      </c>
      <c r="AG211">
        <v>0.20293533127443389</v>
      </c>
      <c r="AH211">
        <v>0</v>
      </c>
      <c r="AI211">
        <v>0</v>
      </c>
      <c r="AJ211">
        <v>0</v>
      </c>
      <c r="AM211">
        <f t="shared" si="3"/>
        <v>43.924999999999997</v>
      </c>
    </row>
    <row r="212" spans="1:39">
      <c r="A212" s="20">
        <v>789</v>
      </c>
      <c r="B212" t="s">
        <v>10</v>
      </c>
      <c r="C212" s="22" t="s">
        <v>63</v>
      </c>
      <c r="D212">
        <v>4265</v>
      </c>
      <c r="E212">
        <v>75</v>
      </c>
      <c r="F212" s="43">
        <v>56.866666666666667</v>
      </c>
      <c r="G212">
        <v>366</v>
      </c>
      <c r="H212" s="43">
        <v>0.20491803278688525</v>
      </c>
      <c r="I212" s="20">
        <v>0.92250465000000004</v>
      </c>
      <c r="K212">
        <v>1</v>
      </c>
      <c r="L212">
        <v>0.92498450099999996</v>
      </c>
      <c r="M212">
        <v>0.91630502199999997</v>
      </c>
      <c r="N212">
        <v>0.89274643499999995</v>
      </c>
      <c r="O212">
        <v>0.92250465000000004</v>
      </c>
      <c r="P212">
        <v>0.847489151</v>
      </c>
      <c r="T212" s="22"/>
      <c r="U212" s="20" t="s">
        <v>143</v>
      </c>
      <c r="V212" t="s">
        <v>143</v>
      </c>
      <c r="W212">
        <v>5</v>
      </c>
      <c r="X212" s="22">
        <v>5</v>
      </c>
      <c r="Y212" s="20">
        <v>1800</v>
      </c>
      <c r="Z212">
        <v>237600</v>
      </c>
      <c r="AA212">
        <v>77400</v>
      </c>
      <c r="AB212" s="22">
        <v>238500</v>
      </c>
      <c r="AC212" s="20">
        <v>-0.98496240601503759</v>
      </c>
      <c r="AD212" s="22">
        <v>-0.50997150997150997</v>
      </c>
      <c r="AE212">
        <v>1.153114369726904E-3</v>
      </c>
      <c r="AF212">
        <v>0.15221109680395134</v>
      </c>
      <c r="AG212">
        <v>0.15336421117367824</v>
      </c>
      <c r="AH212">
        <v>4.9583917898256877E-2</v>
      </c>
      <c r="AI212">
        <v>0.1527876539888148</v>
      </c>
      <c r="AJ212">
        <v>0.20237157188707167</v>
      </c>
      <c r="AM212">
        <f t="shared" si="3"/>
        <v>21.324999999999999</v>
      </c>
    </row>
    <row r="213" spans="1:39">
      <c r="A213" s="20">
        <v>790</v>
      </c>
      <c r="B213" t="s">
        <v>10</v>
      </c>
      <c r="C213" s="22" t="s">
        <v>63</v>
      </c>
      <c r="D213">
        <v>10275</v>
      </c>
      <c r="E213">
        <v>90</v>
      </c>
      <c r="F213" s="43">
        <v>114.16666666666667</v>
      </c>
      <c r="G213">
        <v>305</v>
      </c>
      <c r="H213" s="43">
        <v>0.29508196721311475</v>
      </c>
      <c r="I213" s="20">
        <v>0.85462319600000003</v>
      </c>
      <c r="J213">
        <v>0.79796900100000001</v>
      </c>
      <c r="K213">
        <v>1</v>
      </c>
      <c r="L213">
        <v>0.79850347399999999</v>
      </c>
      <c r="M213">
        <v>0.76590058800000005</v>
      </c>
      <c r="N213">
        <v>0.81961517900000003</v>
      </c>
      <c r="O213">
        <v>0.85462319600000003</v>
      </c>
      <c r="P213">
        <v>0.84767504000000005</v>
      </c>
      <c r="Q213">
        <v>0.86370924599999999</v>
      </c>
      <c r="R213">
        <v>0.75253874899999995</v>
      </c>
      <c r="S213">
        <v>0.76857295599999997</v>
      </c>
      <c r="T213" s="22">
        <v>0.79796900100000001</v>
      </c>
      <c r="U213" s="20" t="s">
        <v>143</v>
      </c>
      <c r="V213" t="s">
        <v>142</v>
      </c>
      <c r="W213">
        <v>6</v>
      </c>
      <c r="X213" s="22">
        <v>1</v>
      </c>
      <c r="Y213" s="20">
        <v>136800</v>
      </c>
      <c r="Z213">
        <v>210600</v>
      </c>
      <c r="AA213">
        <v>483300</v>
      </c>
      <c r="AB213" s="22">
        <v>8100</v>
      </c>
      <c r="AC213" s="20">
        <v>-0.21243523316062177</v>
      </c>
      <c r="AD213" s="22">
        <v>0.96703296703296704</v>
      </c>
      <c r="AE213">
        <v>4.3652028239798968E-2</v>
      </c>
      <c r="AF213">
        <v>6.7201148737585259E-2</v>
      </c>
      <c r="AG213">
        <v>0.11085317697738423</v>
      </c>
      <c r="AH213">
        <v>0.15421802082086875</v>
      </c>
      <c r="AI213">
        <v>2.5846595668302021E-3</v>
      </c>
      <c r="AJ213">
        <v>0.15680268038769896</v>
      </c>
      <c r="AM213">
        <f t="shared" si="3"/>
        <v>51.375</v>
      </c>
    </row>
    <row r="214" spans="1:39">
      <c r="A214" s="20">
        <v>791</v>
      </c>
      <c r="B214" t="s">
        <v>10</v>
      </c>
      <c r="C214" s="22" t="s">
        <v>63</v>
      </c>
      <c r="D214">
        <v>3120</v>
      </c>
      <c r="E214">
        <v>300</v>
      </c>
      <c r="F214" s="43">
        <v>10.4</v>
      </c>
      <c r="G214">
        <v>366</v>
      </c>
      <c r="H214" s="43">
        <v>0.81967213114754101</v>
      </c>
      <c r="I214" s="20">
        <v>0.79670329699999998</v>
      </c>
      <c r="J214">
        <v>0.95421245399999999</v>
      </c>
      <c r="K214">
        <v>1</v>
      </c>
      <c r="L214">
        <v>0.90964590999999995</v>
      </c>
      <c r="M214">
        <v>0.81990231999999996</v>
      </c>
      <c r="N214">
        <v>0.79975580000000002</v>
      </c>
      <c r="O214">
        <v>0.79670329699999998</v>
      </c>
      <c r="P214">
        <v>0.77533577499999995</v>
      </c>
      <c r="Q214">
        <v>0.78815628800000004</v>
      </c>
      <c r="R214">
        <v>0.99267399300000003</v>
      </c>
      <c r="S214">
        <v>0.963369963</v>
      </c>
      <c r="T214" s="22">
        <v>0.95421245399999999</v>
      </c>
      <c r="U214" s="20" t="s">
        <v>143</v>
      </c>
      <c r="V214" t="s">
        <v>143</v>
      </c>
      <c r="W214">
        <v>8</v>
      </c>
      <c r="X214" s="22">
        <v>8</v>
      </c>
      <c r="Y214" s="20">
        <v>0</v>
      </c>
      <c r="Z214">
        <v>241200</v>
      </c>
      <c r="AA214">
        <v>0</v>
      </c>
      <c r="AB214" s="22">
        <v>465300</v>
      </c>
      <c r="AC214" s="20">
        <v>-1</v>
      </c>
      <c r="AD214" s="22">
        <v>-1</v>
      </c>
      <c r="AE214">
        <v>0</v>
      </c>
      <c r="AF214">
        <v>0.2112232030264817</v>
      </c>
      <c r="AG214">
        <v>0.2112232030264817</v>
      </c>
      <c r="AH214">
        <v>0</v>
      </c>
      <c r="AI214">
        <v>0.40747162673392184</v>
      </c>
      <c r="AJ214">
        <v>0.40747162673392184</v>
      </c>
      <c r="AM214">
        <f t="shared" si="3"/>
        <v>15.6</v>
      </c>
    </row>
    <row r="215" spans="1:39">
      <c r="A215" s="20">
        <v>794</v>
      </c>
      <c r="B215" t="s">
        <v>10</v>
      </c>
      <c r="C215" s="22" t="s">
        <v>63</v>
      </c>
      <c r="D215">
        <v>4730</v>
      </c>
      <c r="E215">
        <v>120</v>
      </c>
      <c r="F215" s="43">
        <v>39.416666666666664</v>
      </c>
      <c r="G215">
        <v>366</v>
      </c>
      <c r="H215" s="43">
        <v>0.32786885245901637</v>
      </c>
      <c r="I215" s="20">
        <v>0.81581581599999997</v>
      </c>
      <c r="J215">
        <v>0.73673673699999997</v>
      </c>
      <c r="K215">
        <v>1</v>
      </c>
      <c r="L215">
        <v>0.992492492</v>
      </c>
      <c r="M215">
        <v>0.84184184200000001</v>
      </c>
      <c r="N215">
        <v>0.84284284300000001</v>
      </c>
      <c r="O215">
        <v>0.81581581599999997</v>
      </c>
      <c r="P215">
        <v>0.78678678700000004</v>
      </c>
      <c r="Q215">
        <v>0.77177177200000002</v>
      </c>
      <c r="R215">
        <v>0.73223223199999998</v>
      </c>
      <c r="S215">
        <v>0.68818818800000003</v>
      </c>
      <c r="T215" s="22">
        <v>0.73673673699999997</v>
      </c>
      <c r="U215" s="20" t="s">
        <v>143</v>
      </c>
      <c r="V215" t="s">
        <v>143</v>
      </c>
      <c r="W215">
        <v>5</v>
      </c>
      <c r="X215" s="22">
        <v>3</v>
      </c>
      <c r="Y215" s="20">
        <v>244800</v>
      </c>
      <c r="Z215">
        <v>203400</v>
      </c>
      <c r="AA215">
        <v>164700</v>
      </c>
      <c r="AB215" s="22">
        <v>48600</v>
      </c>
      <c r="AC215" s="20">
        <v>9.2369477911646583E-2</v>
      </c>
      <c r="AD215" s="22">
        <v>0.54430379746835444</v>
      </c>
      <c r="AE215">
        <v>0.14140643953834955</v>
      </c>
      <c r="AF215">
        <v>0.11749211520465809</v>
      </c>
      <c r="AG215">
        <v>0.25889855474300766</v>
      </c>
      <c r="AH215">
        <v>9.5137420718816063E-2</v>
      </c>
      <c r="AI215">
        <v>2.8073337261289986E-2</v>
      </c>
      <c r="AJ215">
        <v>0.12321075798010606</v>
      </c>
      <c r="AM215">
        <f t="shared" si="3"/>
        <v>23.65</v>
      </c>
    </row>
    <row r="216" spans="1:39">
      <c r="A216" s="20">
        <v>797</v>
      </c>
      <c r="B216" t="s">
        <v>10</v>
      </c>
      <c r="C216" s="22" t="s">
        <v>63</v>
      </c>
      <c r="D216">
        <v>9665</v>
      </c>
      <c r="E216">
        <v>115</v>
      </c>
      <c r="F216" s="43">
        <v>84.043478260869563</v>
      </c>
      <c r="G216">
        <v>366</v>
      </c>
      <c r="H216" s="43">
        <v>0.31420765027322406</v>
      </c>
      <c r="I216" s="20">
        <v>1.1168587510000001</v>
      </c>
      <c r="J216">
        <v>0.91450013399999996</v>
      </c>
      <c r="K216">
        <v>1</v>
      </c>
      <c r="L216">
        <v>0.98231037300000001</v>
      </c>
      <c r="M216">
        <v>0.99785580299999999</v>
      </c>
      <c r="N216">
        <v>1.012865184</v>
      </c>
      <c r="O216">
        <v>1.1168587510000001</v>
      </c>
      <c r="P216">
        <v>0.96569284399999999</v>
      </c>
      <c r="Q216">
        <v>0.99115518599999997</v>
      </c>
      <c r="R216">
        <v>1.0061645669999999</v>
      </c>
      <c r="S216">
        <v>1.0013401230000001</v>
      </c>
      <c r="T216" s="22">
        <v>0.91450013399999996</v>
      </c>
      <c r="U216" s="20" t="s">
        <v>143</v>
      </c>
      <c r="V216" t="s">
        <v>143</v>
      </c>
      <c r="W216">
        <v>10</v>
      </c>
      <c r="X216" s="22">
        <v>10</v>
      </c>
      <c r="Y216" s="20">
        <v>486900</v>
      </c>
      <c r="Z216">
        <v>99900</v>
      </c>
      <c r="AA216">
        <v>450900</v>
      </c>
      <c r="AB216" s="22">
        <v>435600</v>
      </c>
      <c r="AC216" s="20">
        <v>0.6595092024539877</v>
      </c>
      <c r="AD216" s="22">
        <v>1.7258883248730966E-2</v>
      </c>
      <c r="AE216">
        <v>0.13764385606336876</v>
      </c>
      <c r="AF216">
        <v>2.824116085588527E-2</v>
      </c>
      <c r="AG216">
        <v>0.16588501691925403</v>
      </c>
      <c r="AH216">
        <v>0.12746686116034703</v>
      </c>
      <c r="AI216">
        <v>0.1231416383265628</v>
      </c>
      <c r="AJ216">
        <v>0.25060849948690983</v>
      </c>
      <c r="AM216">
        <f t="shared" si="3"/>
        <v>48.325000000000003</v>
      </c>
    </row>
    <row r="217" spans="1:39">
      <c r="A217" s="20">
        <v>798</v>
      </c>
      <c r="B217" t="s">
        <v>10</v>
      </c>
      <c r="C217" s="22" t="s">
        <v>63</v>
      </c>
      <c r="D217">
        <v>11680</v>
      </c>
      <c r="E217">
        <v>100</v>
      </c>
      <c r="F217" s="43">
        <v>116.8</v>
      </c>
      <c r="G217">
        <v>366</v>
      </c>
      <c r="H217" s="43">
        <v>0.27322404371584702</v>
      </c>
      <c r="I217" s="20">
        <v>0.86492891000000005</v>
      </c>
      <c r="J217">
        <v>0.94944707699999997</v>
      </c>
      <c r="K217">
        <v>1</v>
      </c>
      <c r="L217">
        <v>0.84296998400000001</v>
      </c>
      <c r="M217">
        <v>0.80473933600000003</v>
      </c>
      <c r="N217">
        <v>0.90410742499999996</v>
      </c>
      <c r="O217">
        <v>0.86492891000000005</v>
      </c>
      <c r="P217">
        <v>0.80884676099999997</v>
      </c>
      <c r="Q217">
        <v>0.83949447099999996</v>
      </c>
      <c r="R217">
        <v>0.87203791500000005</v>
      </c>
      <c r="S217">
        <v>0.79605055300000005</v>
      </c>
      <c r="T217" s="22">
        <v>0.94944707699999997</v>
      </c>
      <c r="U217" s="20" t="s">
        <v>143</v>
      </c>
      <c r="V217" t="s">
        <v>143</v>
      </c>
      <c r="W217">
        <v>5</v>
      </c>
      <c r="X217" s="22">
        <v>3</v>
      </c>
      <c r="Y217" s="20">
        <v>308700</v>
      </c>
      <c r="Z217">
        <v>109800</v>
      </c>
      <c r="AA217">
        <v>558900</v>
      </c>
      <c r="AB217" s="22">
        <v>70200</v>
      </c>
      <c r="AC217" s="20">
        <v>0.47526881720430109</v>
      </c>
      <c r="AD217" s="22">
        <v>0.77682403433476399</v>
      </c>
      <c r="AE217">
        <v>7.2212553334830454E-2</v>
      </c>
      <c r="AF217">
        <v>2.5684931506849314E-2</v>
      </c>
      <c r="AG217">
        <v>9.7897484841679761E-2</v>
      </c>
      <c r="AH217">
        <v>0.13074051201437234</v>
      </c>
      <c r="AI217">
        <v>1.6421513586346283E-2</v>
      </c>
      <c r="AJ217">
        <v>0.14716202560071862</v>
      </c>
      <c r="AM217">
        <f t="shared" si="3"/>
        <v>58.4</v>
      </c>
    </row>
    <row r="218" spans="1:39" ht="14.25" thickBot="1">
      <c r="A218" s="25">
        <v>804</v>
      </c>
      <c r="B218" s="26" t="s">
        <v>10</v>
      </c>
      <c r="C218" s="28" t="s">
        <v>63</v>
      </c>
      <c r="D218" s="33">
        <v>10550</v>
      </c>
      <c r="E218" s="33">
        <v>120</v>
      </c>
      <c r="F218" s="47">
        <v>87.916666666666671</v>
      </c>
      <c r="G218" s="33">
        <v>469</v>
      </c>
      <c r="H218" s="47">
        <v>0.25586353944562901</v>
      </c>
      <c r="I218" s="25">
        <v>0.78025241300000003</v>
      </c>
      <c r="J218" s="26">
        <v>0.75705270999999996</v>
      </c>
      <c r="K218" s="26">
        <v>1</v>
      </c>
      <c r="L218" s="26">
        <v>1.013734224</v>
      </c>
      <c r="M218" s="26">
        <v>0.74127691200000001</v>
      </c>
      <c r="N218" s="26">
        <v>0.825909428</v>
      </c>
      <c r="O218" s="26">
        <v>0.78025241300000003</v>
      </c>
      <c r="P218" s="26">
        <v>0.94097995499999998</v>
      </c>
      <c r="Q218" s="26">
        <v>0.66907943599999997</v>
      </c>
      <c r="R218" s="26">
        <v>0.73979213099999996</v>
      </c>
      <c r="S218" s="26">
        <v>0.77449888600000005</v>
      </c>
      <c r="T218" s="28">
        <v>0.75705270999999996</v>
      </c>
      <c r="U218" s="25" t="s">
        <v>143</v>
      </c>
      <c r="V218" s="26" t="s">
        <v>143</v>
      </c>
      <c r="W218" s="26">
        <v>6</v>
      </c>
      <c r="X218" s="28">
        <v>3</v>
      </c>
      <c r="Y218" s="25">
        <v>267300</v>
      </c>
      <c r="Z218" s="26">
        <v>197100</v>
      </c>
      <c r="AA218" s="26">
        <v>1306800</v>
      </c>
      <c r="AB218" s="28">
        <v>135000</v>
      </c>
      <c r="AC218" s="25">
        <v>0.15116279069767441</v>
      </c>
      <c r="AD218" s="28">
        <v>0.81273408239700373</v>
      </c>
      <c r="AE218">
        <v>5.4022372901908873E-2</v>
      </c>
      <c r="AF218">
        <v>3.9834679008478258E-2</v>
      </c>
      <c r="AG218">
        <v>9.3857051910387124E-2</v>
      </c>
      <c r="AH218">
        <v>0.26410937863155448</v>
      </c>
      <c r="AI218">
        <v>2.7284026718135793E-2</v>
      </c>
      <c r="AJ218">
        <v>0.29139340534969027</v>
      </c>
      <c r="AM218">
        <f t="shared" si="3"/>
        <v>52.75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7F83C-6B28-47AC-8A6C-E27A32DF04CA}">
  <dimension ref="A1:V167"/>
  <sheetViews>
    <sheetView workbookViewId="0">
      <selection activeCell="O20" sqref="O20"/>
    </sheetView>
  </sheetViews>
  <sheetFormatPr defaultRowHeight="13.5"/>
  <cols>
    <col min="4" max="4" width="9.5" bestFit="1" customWidth="1"/>
    <col min="5" max="5" width="10.625" bestFit="1" customWidth="1"/>
    <col min="6" max="6" width="10.625" customWidth="1"/>
    <col min="7" max="7" width="13.125" bestFit="1" customWidth="1"/>
    <col min="11" max="11" width="8.75" style="21"/>
    <col min="16" max="16" width="8.75" style="21"/>
  </cols>
  <sheetData>
    <row r="1" spans="1:22" ht="15.75" thickBot="1">
      <c r="A1" s="11" t="s">
        <v>0</v>
      </c>
      <c r="B1" s="11" t="s">
        <v>66</v>
      </c>
      <c r="C1" s="11" t="s">
        <v>67</v>
      </c>
      <c r="D1" s="12" t="s">
        <v>3</v>
      </c>
      <c r="E1" s="11" t="s">
        <v>68</v>
      </c>
      <c r="F1" s="11" t="s">
        <v>69</v>
      </c>
      <c r="G1" s="13" t="s">
        <v>70</v>
      </c>
      <c r="H1" s="14" t="s">
        <v>71</v>
      </c>
      <c r="I1" s="15" t="s">
        <v>72</v>
      </c>
      <c r="J1" s="15" t="s">
        <v>73</v>
      </c>
      <c r="K1" s="16" t="s">
        <v>74</v>
      </c>
      <c r="L1" s="15" t="s">
        <v>75</v>
      </c>
      <c r="M1" s="17" t="s">
        <v>76</v>
      </c>
      <c r="N1" s="15" t="s">
        <v>77</v>
      </c>
      <c r="O1" s="15" t="s">
        <v>78</v>
      </c>
      <c r="P1" s="16" t="s">
        <v>79</v>
      </c>
      <c r="Q1" s="15" t="s">
        <v>80</v>
      </c>
      <c r="R1" s="17" t="s">
        <v>81</v>
      </c>
      <c r="S1" s="15" t="s">
        <v>82</v>
      </c>
      <c r="T1" s="15" t="s">
        <v>83</v>
      </c>
      <c r="U1" s="15" t="s">
        <v>84</v>
      </c>
      <c r="V1" s="18" t="s">
        <v>85</v>
      </c>
    </row>
    <row r="2" spans="1:22" ht="14.25" thickBot="1">
      <c r="A2">
        <v>12</v>
      </c>
      <c r="B2">
        <v>1998</v>
      </c>
      <c r="C2">
        <v>1.15E-2</v>
      </c>
      <c r="D2" s="19" t="s">
        <v>11</v>
      </c>
      <c r="E2">
        <f>AVERAGE(H2:L2)</f>
        <v>0.40809950264612588</v>
      </c>
      <c r="F2">
        <f>AVERAGE(H2:Q2)</f>
        <v>0.32688488243842184</v>
      </c>
      <c r="G2">
        <f>AVERAGE(H2:V2)</f>
        <v>0.2720297454820097</v>
      </c>
      <c r="H2" s="20">
        <v>0.837492875633295</v>
      </c>
      <c r="I2">
        <v>0.34106664360034245</v>
      </c>
      <c r="J2">
        <v>0.27638928694121156</v>
      </c>
      <c r="K2">
        <v>0.18568517597500034</v>
      </c>
      <c r="L2" s="21">
        <v>0.39986353108077993</v>
      </c>
      <c r="M2">
        <v>0.24449789012543011</v>
      </c>
      <c r="N2">
        <v>0.28772585263621064</v>
      </c>
      <c r="O2">
        <v>0.26839742068754435</v>
      </c>
      <c r="P2">
        <v>0.27484910594544337</v>
      </c>
      <c r="Q2" s="21">
        <v>0.15288104175896089</v>
      </c>
      <c r="R2">
        <v>0.14123612265712965</v>
      </c>
      <c r="S2">
        <v>0.2119567575899822</v>
      </c>
      <c r="T2">
        <v>0.11161439833072259</v>
      </c>
      <c r="U2">
        <v>5.6378443149902147E-2</v>
      </c>
      <c r="V2" s="22">
        <v>0.29041163611819104</v>
      </c>
    </row>
    <row r="3" spans="1:22" ht="14.25" thickBot="1">
      <c r="A3">
        <v>42</v>
      </c>
      <c r="B3">
        <v>2003</v>
      </c>
      <c r="C3">
        <v>6.7999999999999996E-3</v>
      </c>
      <c r="D3" s="19" t="s">
        <v>13</v>
      </c>
      <c r="E3">
        <f t="shared" ref="E3:E66" si="0">AVERAGE(H3:L3)</f>
        <v>0.62027986582459982</v>
      </c>
      <c r="F3">
        <f t="shared" ref="F3:F66" si="1">AVERAGE(H3:Q3)</f>
        <v>0.6169425165690805</v>
      </c>
      <c r="G3">
        <f t="shared" ref="G3:G66" si="2">AVERAGE(H3:V3)</f>
        <v>0.54950700961587418</v>
      </c>
      <c r="H3" s="20">
        <v>0.5495470052160295</v>
      </c>
      <c r="I3">
        <v>0.95015222291651558</v>
      </c>
      <c r="J3">
        <v>0.69721946895934706</v>
      </c>
      <c r="K3">
        <v>0.4741917484054663</v>
      </c>
      <c r="L3" s="21">
        <v>0.43028888362564044</v>
      </c>
      <c r="M3">
        <v>0.34506723502328002</v>
      </c>
      <c r="N3">
        <v>0.79936362843865449</v>
      </c>
      <c r="O3">
        <v>0.87693515674810096</v>
      </c>
      <c r="P3">
        <v>0.28697077201051735</v>
      </c>
      <c r="Q3" s="21">
        <v>0.75968904434725348</v>
      </c>
      <c r="R3">
        <v>1.171162348934458</v>
      </c>
      <c r="S3">
        <v>0.12138429508771731</v>
      </c>
      <c r="T3">
        <v>0.36189820448199911</v>
      </c>
      <c r="U3">
        <v>2.3950046362856029E-2</v>
      </c>
      <c r="V3" s="22">
        <v>0.39478508368027548</v>
      </c>
    </row>
    <row r="4" spans="1:22" ht="14.25" thickBot="1">
      <c r="A4">
        <v>43</v>
      </c>
      <c r="B4">
        <v>2012</v>
      </c>
      <c r="C4">
        <v>3.5000000000000001E-3</v>
      </c>
      <c r="D4" s="19" t="s">
        <v>13</v>
      </c>
      <c r="E4">
        <f t="shared" si="0"/>
        <v>0.40435763586160534</v>
      </c>
      <c r="F4">
        <f t="shared" si="1"/>
        <v>0.39310081482115755</v>
      </c>
      <c r="H4" s="20">
        <v>0.36003496805812579</v>
      </c>
      <c r="I4">
        <v>0.38100296529718641</v>
      </c>
      <c r="J4">
        <v>0.38808930795805502</v>
      </c>
      <c r="K4">
        <v>0.28153002958777479</v>
      </c>
      <c r="L4" s="21">
        <v>0.61113090840688455</v>
      </c>
      <c r="M4">
        <v>0.59053054045492803</v>
      </c>
      <c r="N4">
        <v>0.34086869867378944</v>
      </c>
      <c r="O4">
        <v>0.2448056347551783</v>
      </c>
      <c r="P4">
        <v>0.32317707138410318</v>
      </c>
      <c r="Q4" s="21">
        <v>0.40983802363555027</v>
      </c>
      <c r="V4" s="22"/>
    </row>
    <row r="5" spans="1:22" ht="14.25" thickBot="1">
      <c r="A5">
        <v>45</v>
      </c>
      <c r="B5">
        <v>2002</v>
      </c>
      <c r="C5">
        <v>1.17E-2</v>
      </c>
      <c r="D5" s="19" t="s">
        <v>13</v>
      </c>
      <c r="E5">
        <f t="shared" si="0"/>
        <v>0.64172787105833939</v>
      </c>
      <c r="F5">
        <f t="shared" si="1"/>
        <v>0.410552616466828</v>
      </c>
      <c r="G5">
        <f t="shared" si="2"/>
        <v>0.41317244382658175</v>
      </c>
      <c r="H5" s="20">
        <v>0.47751264356507661</v>
      </c>
      <c r="I5">
        <v>1.3930454337991693</v>
      </c>
      <c r="J5">
        <v>0.60541324224070403</v>
      </c>
      <c r="K5">
        <v>0.47245467338090763</v>
      </c>
      <c r="L5" s="21">
        <v>0.26021336230583964</v>
      </c>
      <c r="M5">
        <v>0.34631398422390158</v>
      </c>
      <c r="N5">
        <v>9.7891998671425007E-2</v>
      </c>
      <c r="O5">
        <v>0.14943658995048031</v>
      </c>
      <c r="P5">
        <v>0.2366977263951803</v>
      </c>
      <c r="Q5" s="21">
        <v>6.6546510135595746E-2</v>
      </c>
      <c r="R5">
        <v>0.38991729764253691</v>
      </c>
      <c r="S5">
        <v>0.2654148587469165</v>
      </c>
      <c r="T5">
        <v>0.82557140977136256</v>
      </c>
      <c r="U5">
        <v>0.34091039748756491</v>
      </c>
      <c r="V5" s="22">
        <v>0.27024652908206448</v>
      </c>
    </row>
    <row r="6" spans="1:22" ht="14.25" thickBot="1">
      <c r="A6">
        <v>46</v>
      </c>
      <c r="B6">
        <v>2006</v>
      </c>
      <c r="C6">
        <v>3.8E-3</v>
      </c>
      <c r="D6" s="19" t="s">
        <v>13</v>
      </c>
      <c r="E6">
        <f t="shared" si="0"/>
        <v>0.12054440800107047</v>
      </c>
      <c r="F6">
        <f t="shared" si="1"/>
        <v>0.15073474009610383</v>
      </c>
      <c r="G6">
        <f t="shared" si="2"/>
        <v>0.22961418974568273</v>
      </c>
      <c r="H6" s="20">
        <v>0.22954581830957552</v>
      </c>
      <c r="I6">
        <v>4.2414617787845693E-2</v>
      </c>
      <c r="J6">
        <v>0.1183185591746455</v>
      </c>
      <c r="K6">
        <v>3.4005175562670804E-2</v>
      </c>
      <c r="L6" s="21">
        <v>0.17843786917061485</v>
      </c>
      <c r="M6">
        <v>0.18744199208484841</v>
      </c>
      <c r="N6">
        <v>0.2204960753684965</v>
      </c>
      <c r="O6">
        <v>0.10366810037810011</v>
      </c>
      <c r="P6">
        <v>0.26034945090856976</v>
      </c>
      <c r="Q6" s="21">
        <v>0.13266974221567099</v>
      </c>
      <c r="R6">
        <v>0.48141153451685814</v>
      </c>
      <c r="S6">
        <v>0.79569657956146755</v>
      </c>
      <c r="T6">
        <v>0.11059872805935775</v>
      </c>
      <c r="U6">
        <v>0.39260561316622905</v>
      </c>
      <c r="V6" s="22">
        <v>0.1565529899202904</v>
      </c>
    </row>
    <row r="7" spans="1:22" ht="14.25" thickBot="1">
      <c r="A7">
        <v>47</v>
      </c>
      <c r="B7">
        <v>1999</v>
      </c>
      <c r="C7">
        <v>1.12E-2</v>
      </c>
      <c r="D7" s="19" t="s">
        <v>13</v>
      </c>
      <c r="E7">
        <f t="shared" si="0"/>
        <v>0.95435152260109901</v>
      </c>
      <c r="F7">
        <f t="shared" si="1"/>
        <v>0.93802760307480548</v>
      </c>
      <c r="H7" s="20">
        <v>1.5694962956101901</v>
      </c>
      <c r="I7">
        <v>1.6454307979871734</v>
      </c>
      <c r="J7">
        <v>0.36714880052080096</v>
      </c>
      <c r="K7">
        <v>0.88137086380722496</v>
      </c>
      <c r="L7" s="21">
        <v>0.30831085508010631</v>
      </c>
      <c r="M7">
        <v>1.25313570495889</v>
      </c>
      <c r="N7">
        <v>1.2426152130699999</v>
      </c>
      <c r="O7">
        <v>0.31757519605480866</v>
      </c>
      <c r="P7">
        <v>0.85716470058405603</v>
      </c>
      <c r="Q7" s="21"/>
      <c r="V7" s="22"/>
    </row>
    <row r="8" spans="1:22" ht="14.25" thickBot="1">
      <c r="A8">
        <v>48</v>
      </c>
      <c r="B8">
        <v>2018</v>
      </c>
      <c r="C8">
        <v>1.37E-2</v>
      </c>
      <c r="D8" s="19" t="s">
        <v>13</v>
      </c>
      <c r="E8">
        <f t="shared" si="0"/>
        <v>1.4757166772625059</v>
      </c>
      <c r="H8" s="20">
        <v>0.68219531577369052</v>
      </c>
      <c r="I8">
        <v>3.0690092298611287</v>
      </c>
      <c r="J8" s="23">
        <v>0.67594548615269845</v>
      </c>
      <c r="K8"/>
      <c r="L8" s="21"/>
      <c r="P8"/>
      <c r="Q8" s="21"/>
      <c r="V8" s="22"/>
    </row>
    <row r="9" spans="1:22" ht="14.25" thickBot="1">
      <c r="A9">
        <v>50</v>
      </c>
      <c r="B9">
        <v>2009</v>
      </c>
      <c r="C9">
        <v>3.8999999999999998E-3</v>
      </c>
      <c r="D9" s="19" t="s">
        <v>13</v>
      </c>
      <c r="E9">
        <f t="shared" si="0"/>
        <v>0.69590715647838008</v>
      </c>
      <c r="F9">
        <f t="shared" si="1"/>
        <v>0.64836376524337591</v>
      </c>
      <c r="G9">
        <f t="shared" si="2"/>
        <v>0.60245896145898259</v>
      </c>
      <c r="H9" s="20">
        <v>1.1876108450761664</v>
      </c>
      <c r="I9">
        <v>0.68462016638857603</v>
      </c>
      <c r="J9">
        <v>0.62021299970919497</v>
      </c>
      <c r="K9">
        <v>0.2941558850567258</v>
      </c>
      <c r="L9" s="21">
        <v>0.69293588616123758</v>
      </c>
      <c r="M9">
        <v>0.70876768452865402</v>
      </c>
      <c r="N9">
        <v>0.82195035891300849</v>
      </c>
      <c r="O9">
        <v>0.44856584217090384</v>
      </c>
      <c r="P9">
        <v>0.52080630667669003</v>
      </c>
      <c r="Q9" s="21">
        <v>0.50401167775260247</v>
      </c>
      <c r="R9">
        <v>0.78584895589897796</v>
      </c>
      <c r="S9">
        <v>0.24450751151904829</v>
      </c>
      <c r="T9">
        <v>0.31797237911498827</v>
      </c>
      <c r="V9" s="22"/>
    </row>
    <row r="10" spans="1:22" ht="14.25" thickBot="1">
      <c r="A10">
        <v>52</v>
      </c>
      <c r="B10">
        <v>2010</v>
      </c>
      <c r="C10">
        <v>3.7000000000000002E-3</v>
      </c>
      <c r="D10" s="19" t="s">
        <v>13</v>
      </c>
      <c r="E10">
        <f t="shared" si="0"/>
        <v>1.1626709843859673</v>
      </c>
      <c r="F10">
        <f t="shared" si="1"/>
        <v>0.85460344239278763</v>
      </c>
      <c r="G10">
        <f t="shared" si="2"/>
        <v>0.76305970992409666</v>
      </c>
      <c r="H10" s="20">
        <v>2.3402159778490841</v>
      </c>
      <c r="I10">
        <v>0.60153551660624749</v>
      </c>
      <c r="J10">
        <v>0.85404991165963251</v>
      </c>
      <c r="K10">
        <v>1.2154193642320315</v>
      </c>
      <c r="L10" s="21">
        <v>0.80213415158284107</v>
      </c>
      <c r="M10">
        <v>0.64778100860538346</v>
      </c>
      <c r="N10">
        <v>0.40976714369934591</v>
      </c>
      <c r="O10">
        <v>0.76278315079183756</v>
      </c>
      <c r="P10">
        <v>0.57215515021531094</v>
      </c>
      <c r="Q10" s="21">
        <v>0.34019304868616201</v>
      </c>
      <c r="R10">
        <v>0.20726624721687847</v>
      </c>
      <c r="S10">
        <v>0.40341584794440466</v>
      </c>
      <c r="V10" s="22"/>
    </row>
    <row r="11" spans="1:22" ht="14.25" thickBot="1">
      <c r="A11">
        <v>54</v>
      </c>
      <c r="B11">
        <v>2018</v>
      </c>
      <c r="C11">
        <v>2.8E-3</v>
      </c>
      <c r="D11" s="19" t="s">
        <v>13</v>
      </c>
      <c r="E11">
        <f t="shared" si="0"/>
        <v>0.49321987198842482</v>
      </c>
      <c r="H11" s="20">
        <v>1.0267629728254419</v>
      </c>
      <c r="I11">
        <v>0.39806468314940113</v>
      </c>
      <c r="J11">
        <v>9.8972956731141787E-2</v>
      </c>
      <c r="K11">
        <v>0.44907887524771467</v>
      </c>
      <c r="L11" s="21"/>
      <c r="P11"/>
      <c r="Q11" s="21"/>
      <c r="V11" s="22"/>
    </row>
    <row r="12" spans="1:22" ht="14.25" thickBot="1">
      <c r="A12">
        <v>56</v>
      </c>
      <c r="B12">
        <v>1997</v>
      </c>
      <c r="C12">
        <v>7.0000000000000001E-3</v>
      </c>
      <c r="D12" s="19" t="s">
        <v>13</v>
      </c>
      <c r="E12">
        <f t="shared" si="0"/>
        <v>0.85399961971877969</v>
      </c>
      <c r="F12">
        <f t="shared" si="1"/>
        <v>0.55028185203879965</v>
      </c>
      <c r="G12">
        <f t="shared" si="2"/>
        <v>0.5845671448112929</v>
      </c>
      <c r="H12" s="20">
        <v>1.5074903487766176</v>
      </c>
      <c r="I12">
        <v>1.3729345524635037</v>
      </c>
      <c r="J12">
        <v>0.94813240549139055</v>
      </c>
      <c r="K12">
        <v>0.23549980806365289</v>
      </c>
      <c r="L12" s="21">
        <v>0.2059409837987343</v>
      </c>
      <c r="M12">
        <v>0.13244774473451199</v>
      </c>
      <c r="N12">
        <v>9.0589435814303704E-2</v>
      </c>
      <c r="O12">
        <v>2.8975487337459187E-2</v>
      </c>
      <c r="P12">
        <v>0.32690240081063593</v>
      </c>
      <c r="Q12" s="21">
        <v>0.653905353097187</v>
      </c>
      <c r="R12">
        <v>0.39068094260261543</v>
      </c>
      <c r="S12">
        <v>0.82749571245401554</v>
      </c>
      <c r="T12">
        <v>0.28483506349003329</v>
      </c>
      <c r="U12">
        <v>1.1781097884234419</v>
      </c>
      <c r="V12" s="22"/>
    </row>
    <row r="13" spans="1:22" ht="14.25" thickBot="1">
      <c r="A13">
        <v>87</v>
      </c>
      <c r="B13">
        <v>2005</v>
      </c>
      <c r="C13">
        <v>3.1699999999999999E-2</v>
      </c>
      <c r="D13" s="19" t="s">
        <v>16</v>
      </c>
      <c r="E13">
        <f t="shared" si="0"/>
        <v>0.16453508630545657</v>
      </c>
      <c r="F13">
        <f t="shared" si="1"/>
        <v>0.13690019484369639</v>
      </c>
      <c r="G13">
        <f t="shared" si="2"/>
        <v>0.12119805535711241</v>
      </c>
      <c r="H13" s="20">
        <v>8.8120572518292722E-2</v>
      </c>
      <c r="I13">
        <v>0.23426162411325607</v>
      </c>
      <c r="J13">
        <v>8.2517068252368E-2</v>
      </c>
      <c r="K13">
        <v>0.20858835139305493</v>
      </c>
      <c r="L13" s="21">
        <v>0.20918781525031113</v>
      </c>
      <c r="M13">
        <v>8.3184341636593606E-2</v>
      </c>
      <c r="N13">
        <v>0.18194781959560169</v>
      </c>
      <c r="O13">
        <v>9.6249814865460678E-2</v>
      </c>
      <c r="P13">
        <v>0.1040337420195919</v>
      </c>
      <c r="Q13" s="21">
        <v>8.0910798792433444E-2</v>
      </c>
      <c r="R13">
        <v>0.13315565623414105</v>
      </c>
      <c r="S13">
        <v>2.9225806698880211E-2</v>
      </c>
      <c r="T13">
        <v>0.12866513725377801</v>
      </c>
      <c r="U13">
        <v>0.14392348427967011</v>
      </c>
      <c r="V13" s="22">
        <v>1.3998797453252616E-2</v>
      </c>
    </row>
    <row r="14" spans="1:22" ht="14.25" thickBot="1">
      <c r="A14">
        <v>137</v>
      </c>
      <c r="B14">
        <v>2015</v>
      </c>
      <c r="C14">
        <v>1.61E-2</v>
      </c>
      <c r="D14" s="19" t="s">
        <v>16</v>
      </c>
      <c r="E14">
        <f t="shared" si="0"/>
        <v>9.2294689504169691E-2</v>
      </c>
      <c r="F14">
        <f t="shared" si="1"/>
        <v>7.6389872963273847E-2</v>
      </c>
      <c r="G14">
        <f t="shared" si="2"/>
        <v>7.1169651972854853E-2</v>
      </c>
      <c r="H14" s="20">
        <v>0.1213803706016412</v>
      </c>
      <c r="I14">
        <v>8.2263352874070994E-2</v>
      </c>
      <c r="J14">
        <v>5.6397665919511404E-2</v>
      </c>
      <c r="K14">
        <v>6.5724604289173344E-2</v>
      </c>
      <c r="L14" s="21">
        <v>0.1357074538364515</v>
      </c>
      <c r="M14">
        <v>7.5940975729577906E-2</v>
      </c>
      <c r="N14">
        <v>7.5050675489134855E-2</v>
      </c>
      <c r="O14">
        <v>7.1459706917884155E-2</v>
      </c>
      <c r="P14">
        <v>4.5256154199669919E-2</v>
      </c>
      <c r="Q14" s="21">
        <v>3.4717769775623186E-2</v>
      </c>
      <c r="R14">
        <v>1.8967442068664953E-2</v>
      </c>
      <c r="V14" s="22"/>
    </row>
    <row r="15" spans="1:22" ht="14.25" thickBot="1">
      <c r="A15">
        <v>163</v>
      </c>
      <c r="B15">
        <v>2013</v>
      </c>
      <c r="C15">
        <v>6.6E-3</v>
      </c>
      <c r="D15" s="19" t="s">
        <v>23</v>
      </c>
      <c r="E15">
        <f t="shared" si="0"/>
        <v>0.20520911205710232</v>
      </c>
      <c r="F15">
        <f t="shared" si="1"/>
        <v>0.1797545039648264</v>
      </c>
      <c r="H15" s="20">
        <v>0.33901544406539569</v>
      </c>
      <c r="I15">
        <v>0.13231530919704801</v>
      </c>
      <c r="J15">
        <v>6.0928845571883376E-2</v>
      </c>
      <c r="K15">
        <v>0.32948924645654454</v>
      </c>
      <c r="L15" s="21">
        <v>0.16429671499464008</v>
      </c>
      <c r="M15">
        <v>0.22950827535799251</v>
      </c>
      <c r="N15">
        <v>9.3462481546173051E-2</v>
      </c>
      <c r="O15">
        <v>0.146851468638454</v>
      </c>
      <c r="P15">
        <v>0.1219227498553065</v>
      </c>
      <c r="Q15" s="21"/>
      <c r="V15" s="22"/>
    </row>
    <row r="16" spans="1:22" ht="14.25" thickBot="1">
      <c r="A16">
        <v>164</v>
      </c>
      <c r="B16">
        <v>2012</v>
      </c>
      <c r="C16">
        <v>5.0000000000000001E-3</v>
      </c>
      <c r="D16" s="19" t="s">
        <v>23</v>
      </c>
      <c r="E16">
        <f t="shared" si="0"/>
        <v>0.38372170298335956</v>
      </c>
      <c r="F16">
        <f t="shared" si="1"/>
        <v>0.27206354828911877</v>
      </c>
      <c r="H16" s="20">
        <v>0.86504624397428398</v>
      </c>
      <c r="I16">
        <v>0.296988566977198</v>
      </c>
      <c r="J16">
        <v>0.19925086215111348</v>
      </c>
      <c r="K16">
        <v>0.35028944495831277</v>
      </c>
      <c r="L16" s="21">
        <v>0.20703339685588942</v>
      </c>
      <c r="M16">
        <v>4.5101410279471538E-2</v>
      </c>
      <c r="N16">
        <v>0.27584384155891395</v>
      </c>
      <c r="O16">
        <v>0.128470514824297</v>
      </c>
      <c r="P16">
        <v>0.26977921706856489</v>
      </c>
      <c r="Q16" s="21">
        <v>8.2831984243142392E-2</v>
      </c>
      <c r="V16" s="22"/>
    </row>
    <row r="17" spans="1:22" ht="14.25" thickBot="1">
      <c r="A17">
        <v>165</v>
      </c>
      <c r="B17">
        <v>2011</v>
      </c>
      <c r="C17">
        <v>2.4E-2</v>
      </c>
      <c r="D17" s="19" t="s">
        <v>23</v>
      </c>
      <c r="E17">
        <f t="shared" si="0"/>
        <v>0.39315007570405125</v>
      </c>
      <c r="F17">
        <f t="shared" si="1"/>
        <v>0.30749153933829321</v>
      </c>
      <c r="G17">
        <f t="shared" si="2"/>
        <v>0.29227828518641963</v>
      </c>
      <c r="H17" s="20">
        <v>7.08435932384721E-2</v>
      </c>
      <c r="I17">
        <v>0.61986527725469653</v>
      </c>
      <c r="J17">
        <v>0.45037932405321002</v>
      </c>
      <c r="K17">
        <v>0.45893317529755528</v>
      </c>
      <c r="L17" s="21">
        <v>0.36572900867632219</v>
      </c>
      <c r="M17">
        <v>5.5507211568792847E-2</v>
      </c>
      <c r="N17">
        <v>0.32326257135577252</v>
      </c>
      <c r="O17">
        <v>0.4077452385199305</v>
      </c>
      <c r="P17">
        <v>0.16880561530302807</v>
      </c>
      <c r="Q17" s="21">
        <v>0.15384437811515214</v>
      </c>
      <c r="R17">
        <v>0.20172804414794118</v>
      </c>
      <c r="S17">
        <v>0.23069598470616207</v>
      </c>
      <c r="V17" s="22"/>
    </row>
    <row r="18" spans="1:22" ht="14.25" thickBot="1">
      <c r="A18">
        <v>207</v>
      </c>
      <c r="B18">
        <v>1998</v>
      </c>
      <c r="C18">
        <v>6.7000000000000002E-3</v>
      </c>
      <c r="D18" s="19" t="s">
        <v>26</v>
      </c>
      <c r="E18">
        <f t="shared" si="0"/>
        <v>0.17762835315768816</v>
      </c>
      <c r="F18">
        <f t="shared" si="1"/>
        <v>0.16699594213331331</v>
      </c>
      <c r="G18">
        <f t="shared" si="2"/>
        <v>0.15668860352119116</v>
      </c>
      <c r="H18" s="20">
        <v>0.22144381584254766</v>
      </c>
      <c r="I18">
        <v>0.22029445981111392</v>
      </c>
      <c r="J18">
        <v>5.6651856491138464E-2</v>
      </c>
      <c r="K18">
        <v>0.24426461309019362</v>
      </c>
      <c r="L18" s="21">
        <v>0.14548702055344709</v>
      </c>
      <c r="M18">
        <v>0.16921653688082783</v>
      </c>
      <c r="N18">
        <v>0.21142938732304256</v>
      </c>
      <c r="O18">
        <v>0.21131584862600233</v>
      </c>
      <c r="P18">
        <v>0.12076914455593676</v>
      </c>
      <c r="Q18" s="21">
        <v>6.9086738158882999E-2</v>
      </c>
      <c r="R18">
        <v>0.18483241809030679</v>
      </c>
      <c r="S18">
        <v>0.23251709012937144</v>
      </c>
      <c r="T18">
        <v>5.0488098351740694E-2</v>
      </c>
      <c r="U18">
        <v>0.11369772133827712</v>
      </c>
      <c r="V18" s="22">
        <v>9.8834303575038154E-2</v>
      </c>
    </row>
    <row r="19" spans="1:22" ht="14.25" thickBot="1">
      <c r="A19">
        <v>209</v>
      </c>
      <c r="B19">
        <v>1999</v>
      </c>
      <c r="C19">
        <v>1.37E-2</v>
      </c>
      <c r="D19" s="19" t="s">
        <v>26</v>
      </c>
      <c r="E19">
        <f t="shared" si="0"/>
        <v>0.1797500136123574</v>
      </c>
      <c r="F19">
        <f t="shared" si="1"/>
        <v>0.21040123053888338</v>
      </c>
      <c r="G19">
        <f t="shared" si="2"/>
        <v>0.1864417609828104</v>
      </c>
      <c r="H19" s="20">
        <v>0.20196090992425117</v>
      </c>
      <c r="I19">
        <v>0.13232902756960105</v>
      </c>
      <c r="J19">
        <v>0.23617303739638956</v>
      </c>
      <c r="K19">
        <v>0.15308208635977386</v>
      </c>
      <c r="L19" s="21">
        <v>0.17520500681177137</v>
      </c>
      <c r="M19">
        <v>0.20977539239866436</v>
      </c>
      <c r="N19">
        <v>4.8814712888300117E-2</v>
      </c>
      <c r="O19">
        <v>0.61827100186807793</v>
      </c>
      <c r="P19">
        <v>0.24835346024841609</v>
      </c>
      <c r="Q19" s="21">
        <v>8.0047669923588707E-2</v>
      </c>
      <c r="R19">
        <v>8.4832634214823011E-2</v>
      </c>
      <c r="S19">
        <v>0.37388974872661457</v>
      </c>
      <c r="T19">
        <v>8.2786280263612649E-2</v>
      </c>
      <c r="U19">
        <v>3.8322340844321873E-2</v>
      </c>
      <c r="V19" s="22">
        <v>0.11278310530395</v>
      </c>
    </row>
    <row r="20" spans="1:22" ht="27.75" thickBot="1">
      <c r="A20">
        <v>231</v>
      </c>
      <c r="B20">
        <v>2008</v>
      </c>
      <c r="C20">
        <v>5.7999999999999996E-3</v>
      </c>
      <c r="D20" s="19" t="s">
        <v>27</v>
      </c>
      <c r="E20">
        <f t="shared" si="0"/>
        <v>0.22323671573617179</v>
      </c>
      <c r="F20">
        <f t="shared" si="1"/>
        <v>0.16931942217314069</v>
      </c>
      <c r="G20">
        <f t="shared" si="2"/>
        <v>0.137339493661773</v>
      </c>
      <c r="H20" s="20">
        <v>0.37241460651888852</v>
      </c>
      <c r="I20">
        <v>0.23574886742719378</v>
      </c>
      <c r="J20">
        <v>0.14867609252668446</v>
      </c>
      <c r="K20">
        <v>0.22572609617154826</v>
      </c>
      <c r="L20" s="21">
        <v>0.13361791603654394</v>
      </c>
      <c r="M20">
        <v>0.17801676056553764</v>
      </c>
      <c r="N20">
        <v>0.11693105317510906</v>
      </c>
      <c r="O20">
        <v>0.12167065414650695</v>
      </c>
      <c r="P20">
        <v>3.8748470689294254E-2</v>
      </c>
      <c r="Q20" s="21">
        <v>0.1216437044741001</v>
      </c>
      <c r="R20">
        <v>4.3500839828042898E-2</v>
      </c>
      <c r="S20">
        <v>0.11059762282183434</v>
      </c>
      <c r="T20">
        <v>0.10811510079660337</v>
      </c>
      <c r="U20">
        <v>0.10468461974870741</v>
      </c>
      <c r="V20" s="22">
        <v>0</v>
      </c>
    </row>
    <row r="21" spans="1:22" ht="14.25" thickBot="1">
      <c r="A21">
        <v>257</v>
      </c>
      <c r="B21">
        <v>1994</v>
      </c>
      <c r="C21">
        <v>1.12E-2</v>
      </c>
      <c r="D21" s="19" t="s">
        <v>31</v>
      </c>
      <c r="E21">
        <f t="shared" si="0"/>
        <v>0.3057991338945375</v>
      </c>
      <c r="F21">
        <f t="shared" si="1"/>
        <v>0.24255479492886428</v>
      </c>
      <c r="G21">
        <f t="shared" si="2"/>
        <v>0.19813521871172812</v>
      </c>
      <c r="H21" s="20">
        <v>0.26540228581415654</v>
      </c>
      <c r="I21">
        <v>3.2938694014101245E-2</v>
      </c>
      <c r="J21">
        <v>0.5758890233344427</v>
      </c>
      <c r="K21">
        <v>0.46226613657983906</v>
      </c>
      <c r="L21" s="21">
        <v>0.19249952973014764</v>
      </c>
      <c r="M21">
        <v>7.5857438698541321E-2</v>
      </c>
      <c r="N21">
        <v>7.3665275346839823E-2</v>
      </c>
      <c r="O21">
        <v>8.5913492681193873E-2</v>
      </c>
      <c r="P21">
        <v>0.41813784836699008</v>
      </c>
      <c r="Q21" s="21">
        <v>0.24297822472238997</v>
      </c>
      <c r="R21">
        <v>7.1181974070552045E-2</v>
      </c>
      <c r="S21">
        <v>1.9024958641242862E-2</v>
      </c>
      <c r="T21">
        <v>0.12516176823887365</v>
      </c>
      <c r="U21">
        <v>0.1867140348779418</v>
      </c>
      <c r="V21" s="22">
        <v>0.14439759555866913</v>
      </c>
    </row>
    <row r="22" spans="1:22" ht="14.25" thickBot="1">
      <c r="A22">
        <v>261</v>
      </c>
      <c r="B22">
        <v>2001</v>
      </c>
      <c r="C22">
        <v>1.38E-2</v>
      </c>
      <c r="D22" s="19" t="s">
        <v>31</v>
      </c>
      <c r="E22">
        <f t="shared" si="0"/>
        <v>0.18410630274584072</v>
      </c>
      <c r="F22">
        <f t="shared" si="1"/>
        <v>0.14977148435317808</v>
      </c>
      <c r="G22">
        <f t="shared" si="2"/>
        <v>0.13409104150168669</v>
      </c>
      <c r="H22" s="20">
        <v>0.23516949786754202</v>
      </c>
      <c r="I22">
        <v>0.41147984355097078</v>
      </c>
      <c r="J22">
        <v>8.7356620348992622E-2</v>
      </c>
      <c r="K22">
        <v>0.1061234520290758</v>
      </c>
      <c r="L22" s="21">
        <v>8.0402099932622345E-2</v>
      </c>
      <c r="M22">
        <v>0.37627885370240882</v>
      </c>
      <c r="N22">
        <v>0.1080149182235358</v>
      </c>
      <c r="O22">
        <v>9.9754857405551806E-3</v>
      </c>
      <c r="P22">
        <v>2.5156263803010837E-2</v>
      </c>
      <c r="Q22" s="21">
        <v>5.775780833306661E-2</v>
      </c>
      <c r="R22">
        <v>6.4079853601050965E-2</v>
      </c>
      <c r="S22">
        <v>9.2514829065094228E-2</v>
      </c>
      <c r="T22">
        <v>9.17121161514977E-2</v>
      </c>
      <c r="U22">
        <v>0.17056316420423004</v>
      </c>
      <c r="V22" s="22">
        <v>9.4780815971646379E-2</v>
      </c>
    </row>
    <row r="23" spans="1:22" ht="14.25" thickBot="1">
      <c r="A23">
        <v>284</v>
      </c>
      <c r="B23">
        <v>2011</v>
      </c>
      <c r="C23">
        <v>6.0000000000000001E-3</v>
      </c>
      <c r="D23" s="19" t="s">
        <v>32</v>
      </c>
      <c r="E23">
        <f t="shared" si="0"/>
        <v>0.29989993946629606</v>
      </c>
      <c r="F23">
        <f t="shared" si="1"/>
        <v>0.28905636989109662</v>
      </c>
      <c r="H23" s="20">
        <v>0.46791079771290439</v>
      </c>
      <c r="I23">
        <v>0.11959042540395304</v>
      </c>
      <c r="J23">
        <v>0.29732689427666292</v>
      </c>
      <c r="K23">
        <v>0.42641436499216201</v>
      </c>
      <c r="L23" s="21">
        <v>0.18825721494579764</v>
      </c>
      <c r="M23">
        <v>0.38350898704415848</v>
      </c>
      <c r="N23">
        <v>0.27549062394430296</v>
      </c>
      <c r="O23">
        <v>0.22730177989402378</v>
      </c>
      <c r="P23">
        <v>0.25509627995268475</v>
      </c>
      <c r="Q23" s="21">
        <v>0.24966633074431649</v>
      </c>
      <c r="V23" s="22"/>
    </row>
    <row r="24" spans="1:22" ht="14.25" thickBot="1">
      <c r="A24">
        <v>289</v>
      </c>
      <c r="B24">
        <v>2012</v>
      </c>
      <c r="C24">
        <v>5.1000000000000004E-3</v>
      </c>
      <c r="D24" s="19" t="s">
        <v>32</v>
      </c>
      <c r="E24">
        <f t="shared" si="0"/>
        <v>0.42670648724618709</v>
      </c>
      <c r="F24">
        <f t="shared" si="1"/>
        <v>0.30231209644100826</v>
      </c>
      <c r="H24" s="20">
        <v>0.60139553553717795</v>
      </c>
      <c r="I24">
        <v>0.56056306373502884</v>
      </c>
      <c r="J24">
        <v>0.21236924531434523</v>
      </c>
      <c r="K24">
        <v>0.39223241431122002</v>
      </c>
      <c r="L24" s="21">
        <v>0.36697217733316351</v>
      </c>
      <c r="M24">
        <v>0.1001692014639194</v>
      </c>
      <c r="N24">
        <v>0.28784034573652856</v>
      </c>
      <c r="O24">
        <v>0.13576870313166853</v>
      </c>
      <c r="P24">
        <v>0.12283941568508583</v>
      </c>
      <c r="Q24" s="21">
        <v>0.24297086216194477</v>
      </c>
      <c r="V24" s="22"/>
    </row>
    <row r="25" spans="1:22" ht="14.25" thickBot="1">
      <c r="A25">
        <v>290</v>
      </c>
      <c r="B25">
        <v>2007</v>
      </c>
      <c r="C25">
        <v>7.3000000000000001E-3</v>
      </c>
      <c r="D25" s="19" t="s">
        <v>32</v>
      </c>
      <c r="E25">
        <f t="shared" si="0"/>
        <v>0.37229961595753719</v>
      </c>
      <c r="F25">
        <f t="shared" si="1"/>
        <v>0.2568912288460336</v>
      </c>
      <c r="G25">
        <f t="shared" si="2"/>
        <v>0.23679004571166201</v>
      </c>
      <c r="H25" s="20">
        <v>0.39205365967362293</v>
      </c>
      <c r="I25">
        <v>0.10219802705629075</v>
      </c>
      <c r="J25">
        <v>0.75842125420259099</v>
      </c>
      <c r="K25">
        <v>0.2517590561911151</v>
      </c>
      <c r="L25" s="21">
        <v>0.35706608266406592</v>
      </c>
      <c r="M25">
        <v>0.18820364828770131</v>
      </c>
      <c r="N25">
        <v>0.1862451281741489</v>
      </c>
      <c r="O25">
        <v>0.12983587889141318</v>
      </c>
      <c r="P25">
        <v>5.8039629076647822E-2</v>
      </c>
      <c r="Q25" s="21">
        <v>0.14508992424273881</v>
      </c>
      <c r="R25">
        <v>0.15707144052022312</v>
      </c>
      <c r="S25">
        <v>0.191737489593999</v>
      </c>
      <c r="T25">
        <v>0.22486382713256389</v>
      </c>
      <c r="U25">
        <v>0.2923792419855496</v>
      </c>
      <c r="V25" s="22">
        <v>0.11688639798225811</v>
      </c>
    </row>
    <row r="26" spans="1:22" ht="14.25" thickBot="1">
      <c r="A26">
        <v>292</v>
      </c>
      <c r="B26">
        <v>1989</v>
      </c>
      <c r="C26">
        <v>8.0999999999999996E-3</v>
      </c>
      <c r="D26" s="19" t="s">
        <v>32</v>
      </c>
      <c r="E26">
        <f t="shared" si="0"/>
        <v>0.62868827511614833</v>
      </c>
      <c r="F26">
        <f t="shared" si="1"/>
        <v>0.44314067480653624</v>
      </c>
      <c r="G26">
        <f t="shared" si="2"/>
        <v>0.38781887411405208</v>
      </c>
      <c r="H26" s="20">
        <v>0.88102749553787674</v>
      </c>
      <c r="I26">
        <v>0.91225167582580791</v>
      </c>
      <c r="J26">
        <v>0.723598591644527</v>
      </c>
      <c r="K26">
        <v>0.22629866973108975</v>
      </c>
      <c r="L26" s="21">
        <v>0.40026494284144065</v>
      </c>
      <c r="M26">
        <v>0.38241032171692252</v>
      </c>
      <c r="N26">
        <v>0.16084435305453731</v>
      </c>
      <c r="O26">
        <v>0.13218706392946408</v>
      </c>
      <c r="P26">
        <v>0.3545280363820153</v>
      </c>
      <c r="Q26" s="21">
        <v>0.25799559740168215</v>
      </c>
      <c r="R26">
        <v>0.10897651719344334</v>
      </c>
      <c r="S26">
        <v>0.49637439195092037</v>
      </c>
      <c r="T26">
        <v>0.15552180183776149</v>
      </c>
      <c r="U26">
        <v>0.18935731865753685</v>
      </c>
      <c r="V26" s="22">
        <v>0.43564633400575625</v>
      </c>
    </row>
    <row r="27" spans="1:22" ht="14.25" thickBot="1">
      <c r="A27">
        <v>293</v>
      </c>
      <c r="B27">
        <v>2002</v>
      </c>
      <c r="C27">
        <v>4.8999999999999998E-3</v>
      </c>
      <c r="D27" s="19" t="s">
        <v>32</v>
      </c>
      <c r="E27">
        <f t="shared" si="0"/>
        <v>0.23750218209013871</v>
      </c>
      <c r="F27">
        <f t="shared" si="1"/>
        <v>0.21530411090561055</v>
      </c>
      <c r="G27">
        <f t="shared" si="2"/>
        <v>0.19745069176529645</v>
      </c>
      <c r="H27" s="20">
        <v>0.37538688262297004</v>
      </c>
      <c r="I27">
        <v>0.12240302795672324</v>
      </c>
      <c r="J27">
        <v>0.29912210159821195</v>
      </c>
      <c r="K27">
        <v>0.1178391779805298</v>
      </c>
      <c r="L27" s="21">
        <v>0.27275972029225859</v>
      </c>
      <c r="M27">
        <v>0.13641043806425726</v>
      </c>
      <c r="N27">
        <v>0.13645241297321586</v>
      </c>
      <c r="O27">
        <v>0.28614459270065501</v>
      </c>
      <c r="P27">
        <v>0.1842057290782175</v>
      </c>
      <c r="Q27" s="21">
        <v>0.22231702578906654</v>
      </c>
      <c r="R27">
        <v>0.16168063985825204</v>
      </c>
      <c r="S27">
        <v>8.1157361113037105E-2</v>
      </c>
      <c r="T27">
        <v>0.24371230884696879</v>
      </c>
      <c r="U27">
        <v>0.18656146129559656</v>
      </c>
      <c r="V27" s="22">
        <v>0.13560749630948687</v>
      </c>
    </row>
    <row r="28" spans="1:22" ht="14.25" thickBot="1">
      <c r="A28">
        <v>294</v>
      </c>
      <c r="B28" s="24">
        <v>1984</v>
      </c>
      <c r="C28">
        <v>7.1999999999999998E-3</v>
      </c>
      <c r="D28" s="19" t="s">
        <v>32</v>
      </c>
      <c r="E28">
        <f t="shared" si="0"/>
        <v>0.33224457697496435</v>
      </c>
      <c r="F28">
        <f t="shared" si="1"/>
        <v>0.25929577651586866</v>
      </c>
      <c r="G28">
        <f t="shared" si="2"/>
        <v>0.22208152801275369</v>
      </c>
      <c r="H28" s="20">
        <v>0.25160496184886355</v>
      </c>
      <c r="I28">
        <v>0.29319228888877952</v>
      </c>
      <c r="J28">
        <v>0.24605957872425413</v>
      </c>
      <c r="K28">
        <v>0.2831901312461923</v>
      </c>
      <c r="L28" s="21">
        <v>0.58717592416673214</v>
      </c>
      <c r="M28">
        <v>0.30104896444566426</v>
      </c>
      <c r="N28">
        <v>0.31770578639308633</v>
      </c>
      <c r="O28">
        <v>0.21731108699973931</v>
      </c>
      <c r="P28">
        <v>6.9048813841218068E-2</v>
      </c>
      <c r="Q28" s="21">
        <v>2.6620228604157192E-2</v>
      </c>
      <c r="R28">
        <v>9.6678907812063106E-2</v>
      </c>
      <c r="S28">
        <v>0.12621620471389985</v>
      </c>
      <c r="T28">
        <v>0.11429602447880907</v>
      </c>
      <c r="U28">
        <v>0.28699405210771473</v>
      </c>
      <c r="V28" s="22">
        <v>0.11407996592013189</v>
      </c>
    </row>
    <row r="29" spans="1:22" ht="14.25" thickBot="1">
      <c r="A29">
        <v>295</v>
      </c>
      <c r="B29">
        <v>1994</v>
      </c>
      <c r="C29">
        <v>3.5000000000000001E-3</v>
      </c>
      <c r="D29" s="19" t="s">
        <v>32</v>
      </c>
      <c r="E29">
        <f t="shared" si="0"/>
        <v>0.51699906698964004</v>
      </c>
      <c r="F29">
        <f t="shared" si="1"/>
        <v>0.31090559790767713</v>
      </c>
      <c r="G29">
        <f t="shared" si="2"/>
        <v>0.23688841424054013</v>
      </c>
      <c r="H29" s="20">
        <v>0.9187856175138247</v>
      </c>
      <c r="I29">
        <v>0.40026802632742248</v>
      </c>
      <c r="J29">
        <v>0.28986314250909084</v>
      </c>
      <c r="K29">
        <v>0.90374960934757065</v>
      </c>
      <c r="L29" s="21">
        <v>7.2328939250292032E-2</v>
      </c>
      <c r="M29">
        <v>5.0390910083578967E-2</v>
      </c>
      <c r="N29">
        <v>0.14115703345209202</v>
      </c>
      <c r="O29">
        <v>5.4189350602058962E-2</v>
      </c>
      <c r="P29">
        <v>0.19639917103521023</v>
      </c>
      <c r="Q29" s="21">
        <v>8.1924178955630506E-2</v>
      </c>
      <c r="R29">
        <v>5.7524404672774573E-2</v>
      </c>
      <c r="S29">
        <v>0.13104828606421207</v>
      </c>
      <c r="T29">
        <v>0.13786259080584742</v>
      </c>
      <c r="U29">
        <v>3.8312682163190177E-2</v>
      </c>
      <c r="V29" s="22">
        <v>7.9522270825306218E-2</v>
      </c>
    </row>
    <row r="30" spans="1:22" ht="14.25" thickBot="1">
      <c r="A30">
        <v>296</v>
      </c>
      <c r="B30">
        <v>2006</v>
      </c>
      <c r="C30">
        <v>4.0000000000000001E-3</v>
      </c>
      <c r="D30" s="19" t="s">
        <v>32</v>
      </c>
      <c r="E30">
        <f t="shared" si="0"/>
        <v>0.39592285947627281</v>
      </c>
      <c r="F30">
        <f t="shared" si="1"/>
        <v>0.31464022033515965</v>
      </c>
      <c r="G30">
        <f t="shared" si="2"/>
        <v>0.26277843729596712</v>
      </c>
      <c r="H30" s="20">
        <v>0.59244995816928936</v>
      </c>
      <c r="I30">
        <v>0.67218023318417852</v>
      </c>
      <c r="J30">
        <v>0.12804247686773368</v>
      </c>
      <c r="K30">
        <v>0.5028276065635654</v>
      </c>
      <c r="L30" s="21">
        <v>8.4114022596596991E-2</v>
      </c>
      <c r="M30">
        <v>0.21233196433256341</v>
      </c>
      <c r="N30">
        <v>0.20607596433901793</v>
      </c>
      <c r="O30">
        <v>0.24851208133506672</v>
      </c>
      <c r="P30">
        <v>4.3660183820337248E-2</v>
      </c>
      <c r="Q30" s="21">
        <v>0.45620771214324751</v>
      </c>
      <c r="R30">
        <v>0.19363659381493639</v>
      </c>
      <c r="S30">
        <v>0.20565704803820362</v>
      </c>
      <c r="T30">
        <v>0.1153728217684786</v>
      </c>
      <c r="U30">
        <v>0.15675706028937308</v>
      </c>
      <c r="V30" s="22">
        <v>0.12385083217691903</v>
      </c>
    </row>
    <row r="31" spans="1:22" ht="14.25" thickBot="1">
      <c r="A31">
        <v>297</v>
      </c>
      <c r="B31">
        <v>2014</v>
      </c>
      <c r="C31">
        <v>6.4999999999999997E-3</v>
      </c>
      <c r="D31" s="19" t="s">
        <v>32</v>
      </c>
      <c r="E31">
        <f t="shared" si="0"/>
        <v>0.11367047823653269</v>
      </c>
      <c r="F31">
        <f t="shared" si="1"/>
        <v>0.12171277465443467</v>
      </c>
      <c r="H31" s="20">
        <v>2.3239000410479074E-2</v>
      </c>
      <c r="I31">
        <v>0.16422401007154339</v>
      </c>
      <c r="J31">
        <v>0.17908796981491323</v>
      </c>
      <c r="K31">
        <v>9.8025432814748154E-2</v>
      </c>
      <c r="L31" s="21">
        <v>0.10377597807097962</v>
      </c>
      <c r="M31">
        <v>0.17673076190928558</v>
      </c>
      <c r="N31">
        <v>9.8846959679737223E-2</v>
      </c>
      <c r="O31">
        <v>0.1297720844637911</v>
      </c>
      <c r="P31"/>
      <c r="Q31" s="21"/>
      <c r="V31" s="22"/>
    </row>
    <row r="32" spans="1:22" ht="14.25" thickBot="1">
      <c r="A32">
        <v>301</v>
      </c>
      <c r="B32">
        <v>1987</v>
      </c>
      <c r="C32">
        <v>3.8999999999999998E-3</v>
      </c>
      <c r="D32" s="19" t="s">
        <v>32</v>
      </c>
      <c r="E32">
        <f t="shared" si="0"/>
        <v>0.14624780942847398</v>
      </c>
      <c r="F32">
        <f t="shared" si="1"/>
        <v>0.1425164532800674</v>
      </c>
      <c r="G32">
        <f t="shared" si="2"/>
        <v>0.12639920389388346</v>
      </c>
      <c r="H32" s="20">
        <v>7.0510439087028004E-2</v>
      </c>
      <c r="I32">
        <v>0.17713196745118981</v>
      </c>
      <c r="J32">
        <v>0.14333482621498278</v>
      </c>
      <c r="K32">
        <v>0.21424246809772607</v>
      </c>
      <c r="L32" s="21">
        <v>0.12601934629144335</v>
      </c>
      <c r="M32">
        <v>0.16903383863130378</v>
      </c>
      <c r="N32">
        <v>0.1019111079736081</v>
      </c>
      <c r="O32">
        <v>0.13360838357615465</v>
      </c>
      <c r="P32">
        <v>0.16356200312714697</v>
      </c>
      <c r="Q32" s="21">
        <v>0.12581015235009077</v>
      </c>
      <c r="R32">
        <v>0.11172169063758544</v>
      </c>
      <c r="S32">
        <v>6.2627860859382212E-2</v>
      </c>
      <c r="T32">
        <v>0.13489730162961086</v>
      </c>
      <c r="U32">
        <v>6.6942974442756584E-2</v>
      </c>
      <c r="V32" s="22">
        <v>9.4633698038242411E-2</v>
      </c>
    </row>
    <row r="33" spans="1:22" ht="14.25" thickBot="1">
      <c r="A33">
        <v>303</v>
      </c>
      <c r="B33">
        <v>1993</v>
      </c>
      <c r="C33">
        <v>6.6E-3</v>
      </c>
      <c r="D33" s="19" t="s">
        <v>32</v>
      </c>
      <c r="E33">
        <f t="shared" si="0"/>
        <v>0.18949230449022386</v>
      </c>
      <c r="F33">
        <f t="shared" si="1"/>
        <v>0.1569771002565338</v>
      </c>
      <c r="G33">
        <f t="shared" si="2"/>
        <v>0.13418571062078966</v>
      </c>
      <c r="H33" s="20">
        <v>0.18223286912128445</v>
      </c>
      <c r="I33">
        <v>0.25391923558630358</v>
      </c>
      <c r="J33">
        <v>0.34735195509018402</v>
      </c>
      <c r="K33">
        <v>8.2008290227408562E-2</v>
      </c>
      <c r="L33" s="21">
        <v>8.1949172425938674E-2</v>
      </c>
      <c r="M33">
        <v>0.18026693731137178</v>
      </c>
      <c r="N33">
        <v>8.8218818632140567E-2</v>
      </c>
      <c r="O33">
        <v>0.11507753289245187</v>
      </c>
      <c r="P33">
        <v>0.14077268463690668</v>
      </c>
      <c r="Q33" s="21">
        <v>9.7973506641347768E-2</v>
      </c>
      <c r="R33">
        <v>8.9311883354764601E-2</v>
      </c>
      <c r="S33">
        <v>8.9925531508054504E-2</v>
      </c>
      <c r="T33">
        <v>0.1383380847502555</v>
      </c>
      <c r="U33">
        <v>9.9008429440243101E-2</v>
      </c>
      <c r="V33" s="22">
        <v>2.6430727693188792E-2</v>
      </c>
    </row>
    <row r="34" spans="1:22" ht="14.25" thickBot="1">
      <c r="A34">
        <v>304</v>
      </c>
      <c r="B34">
        <v>1991</v>
      </c>
      <c r="C34">
        <v>5.1999999999999998E-3</v>
      </c>
      <c r="D34" s="19" t="s">
        <v>32</v>
      </c>
      <c r="E34">
        <f t="shared" si="0"/>
        <v>0.40507103403657985</v>
      </c>
      <c r="F34">
        <f t="shared" si="1"/>
        <v>0.2843565365058025</v>
      </c>
      <c r="G34">
        <f t="shared" si="2"/>
        <v>0.2187059890522039</v>
      </c>
      <c r="H34" s="20">
        <v>0.65038419697065397</v>
      </c>
      <c r="I34">
        <v>0.25999816229452316</v>
      </c>
      <c r="J34">
        <v>0.27956773630325799</v>
      </c>
      <c r="K34">
        <v>0.39433445051384602</v>
      </c>
      <c r="L34" s="21">
        <v>0.44107062410061798</v>
      </c>
      <c r="M34">
        <v>0.24263636454592838</v>
      </c>
      <c r="N34">
        <v>0.22363324381335498</v>
      </c>
      <c r="O34">
        <v>0.18903989659605533</v>
      </c>
      <c r="P34">
        <v>2.9921816441101659E-2</v>
      </c>
      <c r="Q34" s="21">
        <v>0.13297887347868578</v>
      </c>
      <c r="R34">
        <v>7.3779075658723201E-2</v>
      </c>
      <c r="S34">
        <v>0.1004571278120273</v>
      </c>
      <c r="T34">
        <v>0.11341257012570898</v>
      </c>
      <c r="U34">
        <v>7.7777882639615867E-2</v>
      </c>
      <c r="V34" s="22">
        <v>7.1597814488957898E-2</v>
      </c>
    </row>
    <row r="35" spans="1:22" ht="14.25" thickBot="1">
      <c r="A35">
        <v>310</v>
      </c>
      <c r="B35">
        <v>2008</v>
      </c>
      <c r="C35">
        <v>5.3E-3</v>
      </c>
      <c r="D35" s="19" t="s">
        <v>34</v>
      </c>
      <c r="E35">
        <f t="shared" si="0"/>
        <v>0.19692673218679096</v>
      </c>
      <c r="F35">
        <f t="shared" si="1"/>
        <v>0.18804657639538458</v>
      </c>
      <c r="G35">
        <f t="shared" si="2"/>
        <v>0.16701554400577215</v>
      </c>
      <c r="H35" s="20">
        <v>0.13344788364234009</v>
      </c>
      <c r="I35">
        <v>0.18487599407035482</v>
      </c>
      <c r="J35">
        <v>0.23285890556269559</v>
      </c>
      <c r="K35">
        <v>0.14572227857446418</v>
      </c>
      <c r="L35" s="21">
        <v>0.28772859908410003</v>
      </c>
      <c r="M35">
        <v>5.5481662936841383E-2</v>
      </c>
      <c r="N35">
        <v>0.11744712600059692</v>
      </c>
      <c r="O35">
        <v>5.4028545891885577E-2</v>
      </c>
      <c r="P35">
        <v>0.37866405547373233</v>
      </c>
      <c r="Q35" s="21">
        <v>0.29021071271683468</v>
      </c>
      <c r="R35">
        <v>6.4702946134144151E-2</v>
      </c>
      <c r="S35">
        <v>8.6242092529214387E-2</v>
      </c>
      <c r="T35">
        <v>0.20947240233176095</v>
      </c>
      <c r="U35">
        <v>9.7334411131844725E-2</v>
      </c>
      <c r="V35" s="22"/>
    </row>
    <row r="36" spans="1:22" ht="27.75" thickBot="1">
      <c r="A36">
        <v>370</v>
      </c>
      <c r="B36">
        <v>1987</v>
      </c>
      <c r="C36">
        <v>1.1900000000000001E-2</v>
      </c>
      <c r="D36" s="19" t="s">
        <v>36</v>
      </c>
      <c r="E36">
        <f t="shared" si="0"/>
        <v>0.50632032309032105</v>
      </c>
      <c r="F36">
        <f t="shared" si="1"/>
        <v>0.4264075541289099</v>
      </c>
      <c r="G36">
        <f t="shared" si="2"/>
        <v>0.32877127793013811</v>
      </c>
      <c r="H36" s="20">
        <v>1.596817921280564</v>
      </c>
      <c r="I36">
        <v>0.34102187321541777</v>
      </c>
      <c r="J36">
        <v>0.15192830538836463</v>
      </c>
      <c r="K36">
        <v>0.23030699566317087</v>
      </c>
      <c r="L36" s="21">
        <v>0.21152651990408824</v>
      </c>
      <c r="M36">
        <v>0.55785603797977368</v>
      </c>
      <c r="N36">
        <v>0.31248880603867202</v>
      </c>
      <c r="O36">
        <v>0.61970376944321548</v>
      </c>
      <c r="P36">
        <v>0.14555672029851741</v>
      </c>
      <c r="Q36" s="21">
        <v>9.68685920773147E-2</v>
      </c>
      <c r="R36">
        <v>0.13152277734078349</v>
      </c>
      <c r="S36">
        <v>6.1384973482344819E-2</v>
      </c>
      <c r="T36">
        <v>0.13138176341345134</v>
      </c>
      <c r="U36">
        <v>0.17689022657811196</v>
      </c>
      <c r="V36" s="22">
        <v>0.16631388684828077</v>
      </c>
    </row>
    <row r="37" spans="1:22" ht="14.25" thickBot="1">
      <c r="A37">
        <v>379</v>
      </c>
      <c r="B37">
        <v>1997</v>
      </c>
      <c r="C37">
        <v>4.4999999999999997E-3</v>
      </c>
      <c r="D37" s="19" t="s">
        <v>38</v>
      </c>
      <c r="E37">
        <f t="shared" si="0"/>
        <v>0.37505676751116074</v>
      </c>
      <c r="F37">
        <f t="shared" si="1"/>
        <v>0.25474301771917252</v>
      </c>
      <c r="G37">
        <f t="shared" si="2"/>
        <v>0.1898318119405861</v>
      </c>
      <c r="H37" s="20">
        <v>0.16620943221180168</v>
      </c>
      <c r="I37">
        <v>0.81463560318857919</v>
      </c>
      <c r="J37">
        <v>0.18646538391833292</v>
      </c>
      <c r="K37">
        <v>0.5291691663798167</v>
      </c>
      <c r="L37" s="21">
        <v>0.17880425185727292</v>
      </c>
      <c r="M37">
        <v>0.15576017081276999</v>
      </c>
      <c r="N37">
        <v>0.17966259133491624</v>
      </c>
      <c r="O37">
        <v>0.26135423302461169</v>
      </c>
      <c r="P37">
        <v>2.9186353009510915E-2</v>
      </c>
      <c r="Q37" s="21">
        <v>4.6182991454112504E-2</v>
      </c>
      <c r="R37">
        <v>5.5929280649874583E-2</v>
      </c>
      <c r="S37">
        <v>5.6231080479355836E-2</v>
      </c>
      <c r="T37">
        <v>0.11454543736933624</v>
      </c>
      <c r="U37">
        <v>4.03852055833165E-2</v>
      </c>
      <c r="V37" s="22">
        <v>3.2955997835182251E-2</v>
      </c>
    </row>
    <row r="38" spans="1:22" ht="14.25" thickBot="1">
      <c r="A38">
        <v>383</v>
      </c>
      <c r="B38">
        <v>2011</v>
      </c>
      <c r="C38">
        <v>2E-3</v>
      </c>
      <c r="D38" s="19" t="s">
        <v>39</v>
      </c>
      <c r="E38">
        <f t="shared" si="0"/>
        <v>0.48305083185881365</v>
      </c>
      <c r="F38">
        <f t="shared" si="1"/>
        <v>0.30941020624043125</v>
      </c>
      <c r="H38" s="20">
        <v>1.4971050382236699</v>
      </c>
      <c r="I38">
        <v>0.46294329851666</v>
      </c>
      <c r="J38">
        <v>0.19573232132403351</v>
      </c>
      <c r="K38">
        <v>0.12809221091638651</v>
      </c>
      <c r="L38" s="21">
        <v>0.13138129031331799</v>
      </c>
      <c r="M38">
        <v>0.227353316996834</v>
      </c>
      <c r="N38">
        <v>0.131117929880711</v>
      </c>
      <c r="O38">
        <v>0.12854642239738301</v>
      </c>
      <c r="P38">
        <v>0.148522612949399</v>
      </c>
      <c r="Q38" s="21">
        <v>4.3307620885917303E-2</v>
      </c>
      <c r="V38" s="22"/>
    </row>
    <row r="39" spans="1:22" ht="14.25" thickBot="1">
      <c r="A39">
        <v>386</v>
      </c>
      <c r="B39">
        <v>2011</v>
      </c>
      <c r="C39">
        <v>6.0000000000000001E-3</v>
      </c>
      <c r="D39" s="19" t="s">
        <v>40</v>
      </c>
      <c r="E39">
        <f t="shared" si="0"/>
        <v>0.33605540289719027</v>
      </c>
      <c r="F39">
        <f t="shared" si="1"/>
        <v>0.23945672691696793</v>
      </c>
      <c r="H39" s="20">
        <v>0.75422562625494505</v>
      </c>
      <c r="I39">
        <v>9.7571119404653503E-2</v>
      </c>
      <c r="J39">
        <v>0.31257465150507602</v>
      </c>
      <c r="K39">
        <v>0.23092238040760002</v>
      </c>
      <c r="L39" s="21">
        <v>0.284983236913677</v>
      </c>
      <c r="M39">
        <v>0.26928772188462852</v>
      </c>
      <c r="N39">
        <v>0.16550658482674649</v>
      </c>
      <c r="O39">
        <v>7.88700333792485E-2</v>
      </c>
      <c r="P39">
        <v>9.4762817592922502E-2</v>
      </c>
      <c r="Q39" s="21">
        <v>0.105863097000182</v>
      </c>
      <c r="R39">
        <v>4.5071922819173153E-2</v>
      </c>
      <c r="V39" s="22"/>
    </row>
    <row r="40" spans="1:22" ht="14.25" thickBot="1">
      <c r="A40">
        <v>387</v>
      </c>
      <c r="B40">
        <v>2009</v>
      </c>
      <c r="C40">
        <v>6.0000000000000001E-3</v>
      </c>
      <c r="D40" s="19" t="s">
        <v>40</v>
      </c>
      <c r="E40">
        <f t="shared" si="0"/>
        <v>0.25250492022695631</v>
      </c>
      <c r="F40">
        <f t="shared" si="1"/>
        <v>0.21404515387142942</v>
      </c>
      <c r="G40">
        <f t="shared" si="2"/>
        <v>0.20965683966642512</v>
      </c>
      <c r="H40" s="20">
        <v>0.411776166779386</v>
      </c>
      <c r="I40">
        <v>0.22301451066961347</v>
      </c>
      <c r="J40">
        <v>0.22444018826985751</v>
      </c>
      <c r="K40">
        <v>6.3698903014982503E-2</v>
      </c>
      <c r="L40" s="21">
        <v>0.33959483240094201</v>
      </c>
      <c r="M40">
        <v>0.41838119663469497</v>
      </c>
      <c r="N40">
        <v>0.1936987911478395</v>
      </c>
      <c r="O40">
        <v>0.1213319379713675</v>
      </c>
      <c r="P40">
        <v>0.10960334658624299</v>
      </c>
      <c r="Q40" s="21">
        <v>3.4911665239367798E-2</v>
      </c>
      <c r="R40">
        <v>0.138151136658721</v>
      </c>
      <c r="S40">
        <v>0.25577011860658999</v>
      </c>
      <c r="T40">
        <v>0.19116612168392152</v>
      </c>
      <c r="V40" s="22"/>
    </row>
    <row r="41" spans="1:22" ht="14.25" thickBot="1">
      <c r="A41">
        <v>388</v>
      </c>
      <c r="B41">
        <v>2015</v>
      </c>
      <c r="C41">
        <v>0.03</v>
      </c>
      <c r="D41" s="19" t="s">
        <v>40</v>
      </c>
      <c r="E41">
        <f t="shared" si="0"/>
        <v>0.49907847116552889</v>
      </c>
      <c r="F41">
        <f t="shared" si="1"/>
        <v>0.4469899365374535</v>
      </c>
      <c r="H41" s="20">
        <v>0.713316747347845</v>
      </c>
      <c r="I41">
        <v>0.51285704458796999</v>
      </c>
      <c r="J41">
        <v>0.304132411516992</v>
      </c>
      <c r="K41">
        <v>0.69619579780718999</v>
      </c>
      <c r="L41" s="21">
        <v>0.26889035456764748</v>
      </c>
      <c r="M41">
        <v>0.27351462559754003</v>
      </c>
      <c r="N41">
        <v>0.36002257433699003</v>
      </c>
      <c r="P41"/>
      <c r="Q41" s="21"/>
      <c r="V41" s="22"/>
    </row>
    <row r="42" spans="1:22" ht="14.25" thickBot="1">
      <c r="A42">
        <v>389</v>
      </c>
      <c r="B42">
        <v>2001</v>
      </c>
      <c r="C42">
        <v>5.7000000000000002E-3</v>
      </c>
      <c r="D42" s="19" t="s">
        <v>40</v>
      </c>
      <c r="E42">
        <f t="shared" si="0"/>
        <v>0.30601856567338176</v>
      </c>
      <c r="F42">
        <f t="shared" si="1"/>
        <v>0.23322543452576938</v>
      </c>
      <c r="G42">
        <f t="shared" si="2"/>
        <v>0.23548178898207131</v>
      </c>
      <c r="H42" s="20">
        <v>0.60590850946489505</v>
      </c>
      <c r="I42">
        <v>0.20654671526590898</v>
      </c>
      <c r="J42">
        <v>9.9587827774445511E-2</v>
      </c>
      <c r="K42">
        <v>0.33248386916572747</v>
      </c>
      <c r="L42" s="21">
        <v>0.28556590669593196</v>
      </c>
      <c r="M42">
        <v>4.7774664688735903E-2</v>
      </c>
      <c r="N42">
        <v>8.7992228338130488E-2</v>
      </c>
      <c r="O42">
        <v>0.34309894675826397</v>
      </c>
      <c r="P42">
        <v>0.159764900770797</v>
      </c>
      <c r="Q42" s="21">
        <v>0.16353077633485749</v>
      </c>
      <c r="R42">
        <v>0.39558520617838555</v>
      </c>
      <c r="S42">
        <v>0.41943139561715698</v>
      </c>
      <c r="T42">
        <v>0.175548545501507</v>
      </c>
      <c r="U42">
        <v>0.19489204160305099</v>
      </c>
      <c r="V42" s="22">
        <v>1.451530057327495E-2</v>
      </c>
    </row>
    <row r="43" spans="1:22" ht="14.25" thickBot="1">
      <c r="A43">
        <v>391</v>
      </c>
      <c r="B43">
        <v>2016</v>
      </c>
      <c r="C43">
        <v>3.5999999999999999E-3</v>
      </c>
      <c r="D43" s="19" t="s">
        <v>42</v>
      </c>
      <c r="E43">
        <f t="shared" si="0"/>
        <v>1.1084499519261617</v>
      </c>
      <c r="H43" s="20">
        <v>3.3912166171826498E-2</v>
      </c>
      <c r="I43">
        <v>0.92686849988908382</v>
      </c>
      <c r="J43">
        <v>2.8023321154041252</v>
      </c>
      <c r="K43">
        <v>1.3749622324470749</v>
      </c>
      <c r="L43" s="21">
        <v>0.40417474571869877</v>
      </c>
      <c r="P43"/>
      <c r="Q43" s="21"/>
      <c r="V43" s="22"/>
    </row>
    <row r="44" spans="1:22" ht="14.25" thickBot="1">
      <c r="A44">
        <v>393</v>
      </c>
      <c r="B44">
        <v>2014</v>
      </c>
      <c r="C44">
        <v>1.2999999999999999E-3</v>
      </c>
      <c r="D44" s="19" t="s">
        <v>42</v>
      </c>
      <c r="E44">
        <f t="shared" si="0"/>
        <v>0.35028124734128063</v>
      </c>
      <c r="F44">
        <f t="shared" si="1"/>
        <v>0.30878886663856975</v>
      </c>
      <c r="H44" s="20">
        <v>0.20921897795667915</v>
      </c>
      <c r="I44">
        <v>0.45402711043927707</v>
      </c>
      <c r="J44">
        <v>0.38934716412388126</v>
      </c>
      <c r="K44">
        <v>0.37834494603293434</v>
      </c>
      <c r="L44" s="21">
        <v>0.32046803815363123</v>
      </c>
      <c r="M44">
        <v>0.30232352100084997</v>
      </c>
      <c r="N44">
        <v>0.10779230876273542</v>
      </c>
      <c r="P44"/>
      <c r="Q44" s="21"/>
      <c r="V44" s="22"/>
    </row>
    <row r="45" spans="1:22" ht="14.25" thickBot="1">
      <c r="A45">
        <v>394</v>
      </c>
      <c r="B45">
        <v>2006</v>
      </c>
      <c r="C45">
        <v>1.8E-3</v>
      </c>
      <c r="D45" s="19" t="s">
        <v>42</v>
      </c>
      <c r="E45">
        <f t="shared" si="0"/>
        <v>0.10747771848013406</v>
      </c>
      <c r="F45">
        <f t="shared" si="1"/>
        <v>0.10244363920883279</v>
      </c>
      <c r="G45">
        <f t="shared" si="2"/>
        <v>8.6540560676610062E-2</v>
      </c>
      <c r="H45" s="20">
        <v>0.14275390338958122</v>
      </c>
      <c r="I45">
        <v>2.938320111608364E-2</v>
      </c>
      <c r="J45">
        <v>0.20025742684836059</v>
      </c>
      <c r="K45">
        <v>4.7080993015317575E-2</v>
      </c>
      <c r="L45" s="21">
        <v>0.11791306803132728</v>
      </c>
      <c r="M45">
        <v>9.6517130021191819E-2</v>
      </c>
      <c r="N45">
        <v>9.0956131352865913E-2</v>
      </c>
      <c r="O45">
        <v>0.13338495787422425</v>
      </c>
      <c r="P45">
        <v>0.12181596158595046</v>
      </c>
      <c r="Q45" s="21">
        <v>4.4373618853425306E-2</v>
      </c>
      <c r="R45">
        <v>3.5294413250804853E-2</v>
      </c>
      <c r="S45">
        <v>4.5337346406203939E-2</v>
      </c>
      <c r="T45">
        <v>3.3833989604182123E-2</v>
      </c>
      <c r="U45">
        <v>2.6547550785598333E-2</v>
      </c>
      <c r="V45" s="22">
        <v>0.13265871801403364</v>
      </c>
    </row>
    <row r="46" spans="1:22" ht="14.25" thickBot="1">
      <c r="A46">
        <v>398</v>
      </c>
      <c r="B46">
        <v>1986</v>
      </c>
      <c r="C46">
        <v>1.5E-3</v>
      </c>
      <c r="D46" s="19" t="s">
        <v>42</v>
      </c>
      <c r="E46">
        <f t="shared" si="0"/>
        <v>0.34230293409806706</v>
      </c>
      <c r="F46">
        <f t="shared" si="1"/>
        <v>0.37874765994265425</v>
      </c>
      <c r="G46">
        <f t="shared" si="2"/>
        <v>0.45079589302192907</v>
      </c>
      <c r="H46" s="20">
        <v>0.60321649059452342</v>
      </c>
      <c r="I46">
        <v>0.31689109216407901</v>
      </c>
      <c r="J46">
        <v>0.35046225918022744</v>
      </c>
      <c r="K46">
        <v>0.27475115826634927</v>
      </c>
      <c r="L46" s="21">
        <v>0.16619367028515614</v>
      </c>
      <c r="M46">
        <v>0.30689796824049886</v>
      </c>
      <c r="N46">
        <v>0.39911172505174386</v>
      </c>
      <c r="O46">
        <v>0.17284777641441598</v>
      </c>
      <c r="P46">
        <v>0.58186870326738149</v>
      </c>
      <c r="Q46" s="21">
        <v>0.61523575596216729</v>
      </c>
      <c r="R46">
        <v>0.28562574375211514</v>
      </c>
      <c r="S46">
        <v>0.56720160780164786</v>
      </c>
      <c r="T46">
        <v>0.60620522613356598</v>
      </c>
      <c r="U46">
        <v>0.62273625622045081</v>
      </c>
      <c r="V46" s="22">
        <v>0.89269296199461423</v>
      </c>
    </row>
    <row r="47" spans="1:22" ht="14.25" thickBot="1">
      <c r="A47">
        <v>400</v>
      </c>
      <c r="B47">
        <v>1999</v>
      </c>
      <c r="C47">
        <v>1.1999999999999999E-3</v>
      </c>
      <c r="D47" s="19" t="s">
        <v>42</v>
      </c>
      <c r="E47">
        <f t="shared" si="0"/>
        <v>0.78331602435434144</v>
      </c>
      <c r="F47">
        <f t="shared" si="1"/>
        <v>0.49604542840918581</v>
      </c>
      <c r="G47">
        <f t="shared" si="2"/>
        <v>0.45095174045040537</v>
      </c>
      <c r="H47" s="20">
        <v>1.8295391444402165</v>
      </c>
      <c r="I47">
        <v>0.62250384634053335</v>
      </c>
      <c r="J47">
        <v>0.29739892087100667</v>
      </c>
      <c r="K47">
        <v>0.58574059623050834</v>
      </c>
      <c r="L47" s="21">
        <v>0.58139761388944167</v>
      </c>
      <c r="M47">
        <v>0.25937434217019001</v>
      </c>
      <c r="N47">
        <v>0.26197615715035</v>
      </c>
      <c r="O47">
        <v>0.20715862755447667</v>
      </c>
      <c r="P47">
        <v>0.193237801939245</v>
      </c>
      <c r="Q47" s="21">
        <v>0.12212723350588917</v>
      </c>
      <c r="R47">
        <v>0.15728302641744568</v>
      </c>
      <c r="S47">
        <v>0.40786731255253333</v>
      </c>
      <c r="T47">
        <v>0.42504457329833334</v>
      </c>
      <c r="U47">
        <v>0.58550546010393167</v>
      </c>
      <c r="V47" s="22">
        <v>0.22812145029197831</v>
      </c>
    </row>
    <row r="48" spans="1:22" ht="27.75" thickBot="1">
      <c r="A48">
        <v>414</v>
      </c>
      <c r="B48">
        <v>2007</v>
      </c>
      <c r="C48">
        <v>2.0000000000000001E-4</v>
      </c>
      <c r="D48" s="19" t="s">
        <v>36</v>
      </c>
      <c r="E48">
        <f t="shared" si="0"/>
        <v>0.25878601371249799</v>
      </c>
      <c r="F48">
        <f t="shared" si="1"/>
        <v>0.15038058466978715</v>
      </c>
      <c r="G48">
        <f t="shared" si="2"/>
        <v>0.12692109434708695</v>
      </c>
      <c r="H48" s="20">
        <v>0.40313842797013999</v>
      </c>
      <c r="I48">
        <v>0.56534730889532658</v>
      </c>
      <c r="J48">
        <v>0.11157149474096982</v>
      </c>
      <c r="K48">
        <v>6.3972371578028167E-2</v>
      </c>
      <c r="L48" s="21">
        <v>0.14990046537802534</v>
      </c>
      <c r="M48">
        <v>3.3242498795691668E-2</v>
      </c>
      <c r="N48">
        <v>6.8170647471248166E-2</v>
      </c>
      <c r="O48">
        <v>3.0872583231292168E-2</v>
      </c>
      <c r="P48">
        <v>3.9676013006786165E-2</v>
      </c>
      <c r="Q48" s="21">
        <v>3.7914035630363337E-2</v>
      </c>
      <c r="R48">
        <v>0.18055900522344834</v>
      </c>
      <c r="S48">
        <v>2.6509847115879667E-2</v>
      </c>
      <c r="T48">
        <v>5.6339035837305172E-2</v>
      </c>
      <c r="U48">
        <v>0.10958718953708249</v>
      </c>
      <c r="V48" s="22">
        <v>2.7015490794717333E-2</v>
      </c>
    </row>
    <row r="49" spans="1:22" ht="27.75" thickBot="1">
      <c r="A49">
        <v>418</v>
      </c>
      <c r="B49">
        <v>2004</v>
      </c>
      <c r="C49">
        <v>1.14E-2</v>
      </c>
      <c r="D49" s="19" t="s">
        <v>36</v>
      </c>
      <c r="E49">
        <f t="shared" si="0"/>
        <v>0.41346896207988576</v>
      </c>
      <c r="F49">
        <f t="shared" si="1"/>
        <v>0.27246405073620755</v>
      </c>
      <c r="G49">
        <f t="shared" si="2"/>
        <v>0.21432519054315705</v>
      </c>
      <c r="H49" s="20">
        <v>0.73557716983373</v>
      </c>
      <c r="I49">
        <v>0.19638412723430101</v>
      </c>
      <c r="J49">
        <v>0.68831801296988004</v>
      </c>
      <c r="K49">
        <v>0.14404216966675801</v>
      </c>
      <c r="L49" s="21">
        <v>0.30302333069476001</v>
      </c>
      <c r="M49">
        <v>0.235214814218769</v>
      </c>
      <c r="N49">
        <v>3.090106146695655E-2</v>
      </c>
      <c r="O49">
        <v>0.12548808052698551</v>
      </c>
      <c r="P49">
        <v>0.16929007863527598</v>
      </c>
      <c r="Q49" s="21">
        <v>9.6401662114659989E-2</v>
      </c>
      <c r="R49">
        <v>0.14850386766516752</v>
      </c>
      <c r="S49">
        <v>2.8920248170824552E-2</v>
      </c>
      <c r="T49">
        <v>0.1311261278123835</v>
      </c>
      <c r="U49">
        <v>8.2650508199529502E-2</v>
      </c>
      <c r="V49" s="22">
        <v>9.9036598937374987E-2</v>
      </c>
    </row>
    <row r="50" spans="1:22" ht="27.75" thickBot="1">
      <c r="A50">
        <v>423</v>
      </c>
      <c r="B50">
        <v>1988</v>
      </c>
      <c r="C50">
        <v>1.1299999999999999E-2</v>
      </c>
      <c r="D50" s="19" t="s">
        <v>36</v>
      </c>
      <c r="E50">
        <f t="shared" si="0"/>
        <v>0.2138769223934526</v>
      </c>
      <c r="F50">
        <f t="shared" si="1"/>
        <v>0.17997263113259496</v>
      </c>
      <c r="G50">
        <f t="shared" si="2"/>
        <v>0.19680525007686006</v>
      </c>
      <c r="H50" s="20">
        <v>0.18118102672756967</v>
      </c>
      <c r="I50">
        <v>0.19867549445811433</v>
      </c>
      <c r="J50">
        <v>0.26536054447444368</v>
      </c>
      <c r="K50">
        <v>0.27154010222740999</v>
      </c>
      <c r="L50" s="21">
        <v>0.15262744407972534</v>
      </c>
      <c r="M50">
        <v>8.3002484462147003E-2</v>
      </c>
      <c r="N50">
        <v>0.21666018159112799</v>
      </c>
      <c r="O50">
        <v>0.26309945800685397</v>
      </c>
      <c r="P50">
        <v>5.2402282505641669E-2</v>
      </c>
      <c r="Q50" s="21">
        <v>0.11517729279291601</v>
      </c>
      <c r="R50">
        <v>0.32990376573970737</v>
      </c>
      <c r="S50">
        <v>0.19124873842922333</v>
      </c>
      <c r="T50">
        <v>0.328042458910003</v>
      </c>
      <c r="U50">
        <v>0.25883284424043168</v>
      </c>
      <c r="V50" s="22">
        <v>4.4324632507585997E-2</v>
      </c>
    </row>
    <row r="51" spans="1:22" ht="27.75" thickBot="1">
      <c r="A51">
        <v>426</v>
      </c>
      <c r="B51">
        <v>1987</v>
      </c>
      <c r="C51">
        <v>3.3999999999999998E-3</v>
      </c>
      <c r="D51" s="19" t="s">
        <v>36</v>
      </c>
      <c r="E51">
        <f t="shared" si="0"/>
        <v>0.30313718522879401</v>
      </c>
      <c r="F51">
        <f t="shared" si="1"/>
        <v>0.28294854274328551</v>
      </c>
      <c r="G51">
        <f t="shared" si="2"/>
        <v>0.2345552865857527</v>
      </c>
      <c r="H51" s="20">
        <v>0.33685043554060423</v>
      </c>
      <c r="I51">
        <v>0.21807240805048925</v>
      </c>
      <c r="J51">
        <v>0.57717266418366919</v>
      </c>
      <c r="K51">
        <v>0.26107999765612999</v>
      </c>
      <c r="L51" s="21">
        <v>0.12251042071307731</v>
      </c>
      <c r="M51">
        <v>0.21385131594215614</v>
      </c>
      <c r="N51">
        <v>8.3911466929122699E-2</v>
      </c>
      <c r="O51">
        <v>0.27953577007076924</v>
      </c>
      <c r="P51">
        <v>0.61348180048060386</v>
      </c>
      <c r="Q51" s="21">
        <v>0.12301914786623269</v>
      </c>
      <c r="R51">
        <v>2.9695013714273924E-2</v>
      </c>
      <c r="S51">
        <v>0.12490226748680962</v>
      </c>
      <c r="T51">
        <v>6.5136016980846534E-2</v>
      </c>
      <c r="V51" s="22"/>
    </row>
    <row r="52" spans="1:22" ht="27.75" thickBot="1">
      <c r="A52">
        <v>429</v>
      </c>
      <c r="B52">
        <v>1998</v>
      </c>
      <c r="C52">
        <v>4.4000000000000003E-3</v>
      </c>
      <c r="D52" s="19" t="s">
        <v>36</v>
      </c>
      <c r="E52">
        <f t="shared" si="0"/>
        <v>0.37040927931258955</v>
      </c>
      <c r="F52">
        <f t="shared" si="1"/>
        <v>0.26206148264254497</v>
      </c>
      <c r="G52">
        <f t="shared" si="2"/>
        <v>0.21747219881587473</v>
      </c>
      <c r="H52" s="20">
        <v>0.19164581791689383</v>
      </c>
      <c r="I52">
        <v>0.63874154658794613</v>
      </c>
      <c r="J52">
        <v>0.36170328235119575</v>
      </c>
      <c r="K52">
        <v>0.24671029934217728</v>
      </c>
      <c r="L52" s="21">
        <v>0.41324545036473465</v>
      </c>
      <c r="M52">
        <v>0.26427552678627581</v>
      </c>
      <c r="N52">
        <v>8.909492923689423E-2</v>
      </c>
      <c r="O52">
        <v>0.110552359640695</v>
      </c>
      <c r="P52">
        <v>0.13940407144405423</v>
      </c>
      <c r="Q52" s="21">
        <v>0.16524154275458269</v>
      </c>
      <c r="R52">
        <v>9.9365067982260774E-2</v>
      </c>
      <c r="S52">
        <v>0.13286371624263385</v>
      </c>
      <c r="T52">
        <v>0.15381864275765922</v>
      </c>
      <c r="U52">
        <v>0.14095580165839575</v>
      </c>
      <c r="V52" s="22">
        <v>0.11446492717172153</v>
      </c>
    </row>
    <row r="53" spans="1:22" ht="27.75" thickBot="1">
      <c r="A53">
        <v>430</v>
      </c>
      <c r="B53">
        <v>1998</v>
      </c>
      <c r="C53">
        <v>4.5999999999999999E-3</v>
      </c>
      <c r="D53" s="19" t="s">
        <v>36</v>
      </c>
      <c r="E53">
        <f t="shared" si="0"/>
        <v>0.36652435558950952</v>
      </c>
      <c r="F53">
        <f t="shared" si="1"/>
        <v>0.32286309846984351</v>
      </c>
      <c r="G53">
        <f t="shared" si="2"/>
        <v>0.25542397608585865</v>
      </c>
      <c r="H53" s="20">
        <v>0.36929508299980329</v>
      </c>
      <c r="I53">
        <v>0.35624352107205665</v>
      </c>
      <c r="J53">
        <v>0.30961996116272433</v>
      </c>
      <c r="K53">
        <v>0.37239355837110333</v>
      </c>
      <c r="L53" s="21">
        <v>0.42506965434186</v>
      </c>
      <c r="M53">
        <v>0.39076440906937332</v>
      </c>
      <c r="N53">
        <v>0.43955900128668335</v>
      </c>
      <c r="O53">
        <v>0.11489614469272699</v>
      </c>
      <c r="P53">
        <v>0.21482930490310803</v>
      </c>
      <c r="Q53" s="21">
        <v>0.2359603467989963</v>
      </c>
      <c r="R53">
        <v>0.10490445288232966</v>
      </c>
      <c r="S53">
        <v>0.12430649741694867</v>
      </c>
      <c r="T53">
        <v>0.11480542024131433</v>
      </c>
      <c r="U53">
        <v>0.12178721220722034</v>
      </c>
      <c r="V53" s="22">
        <v>0.13692507384163133</v>
      </c>
    </row>
    <row r="54" spans="1:22" ht="27.75" thickBot="1">
      <c r="A54">
        <v>436</v>
      </c>
      <c r="B54">
        <v>2015</v>
      </c>
      <c r="C54">
        <v>1.4E-3</v>
      </c>
      <c r="D54" s="19" t="s">
        <v>36</v>
      </c>
      <c r="E54">
        <f t="shared" si="0"/>
        <v>0.33027605264369875</v>
      </c>
      <c r="F54">
        <f t="shared" si="1"/>
        <v>0.34764487443780195</v>
      </c>
      <c r="H54" s="20">
        <v>0.55730115445624007</v>
      </c>
      <c r="I54">
        <v>0.32990398165425533</v>
      </c>
      <c r="J54">
        <v>0.15158746093231565</v>
      </c>
      <c r="K54">
        <v>0.28358722164417866</v>
      </c>
      <c r="L54" s="21">
        <v>0.32900044453150434</v>
      </c>
      <c r="M54">
        <v>0.33678560541668667</v>
      </c>
      <c r="N54">
        <v>0.44534825242943338</v>
      </c>
      <c r="P54"/>
      <c r="Q54" s="21"/>
      <c r="V54" s="22"/>
    </row>
    <row r="55" spans="1:22" ht="14.25" thickBot="1">
      <c r="A55">
        <v>437</v>
      </c>
      <c r="B55">
        <v>2015</v>
      </c>
      <c r="C55">
        <v>2.3999999999999998E-3</v>
      </c>
      <c r="D55" s="19" t="s">
        <v>40</v>
      </c>
      <c r="E55">
        <f t="shared" si="0"/>
        <v>0.16373179691126924</v>
      </c>
      <c r="F55">
        <f t="shared" si="1"/>
        <v>0.1673317101838255</v>
      </c>
      <c r="H55" s="20">
        <v>0.1900186844470812</v>
      </c>
      <c r="I55">
        <v>7.9264495890120579E-2</v>
      </c>
      <c r="J55">
        <v>0.24811466376297356</v>
      </c>
      <c r="K55">
        <v>0.10236958565519824</v>
      </c>
      <c r="L55" s="21">
        <v>0.19889155480097265</v>
      </c>
      <c r="M55">
        <v>0.12839088434154941</v>
      </c>
      <c r="N55">
        <v>0.22427210238888293</v>
      </c>
      <c r="P55"/>
      <c r="Q55" s="21"/>
      <c r="V55" s="22"/>
    </row>
    <row r="56" spans="1:22" ht="14.25" thickBot="1">
      <c r="A56">
        <v>438</v>
      </c>
      <c r="B56">
        <v>2005</v>
      </c>
      <c r="C56">
        <v>9.4000000000000004E-3</v>
      </c>
      <c r="D56" s="19" t="s">
        <v>40</v>
      </c>
      <c r="E56">
        <f t="shared" si="0"/>
        <v>0.19093962797095781</v>
      </c>
      <c r="F56">
        <f t="shared" si="1"/>
        <v>0.1488708084605945</v>
      </c>
      <c r="G56">
        <f t="shared" si="2"/>
        <v>0.13604322799528226</v>
      </c>
      <c r="H56" s="20">
        <v>0.22728192374469072</v>
      </c>
      <c r="I56">
        <v>0.3393408064283997</v>
      </c>
      <c r="J56">
        <v>0.10132729817740771</v>
      </c>
      <c r="K56">
        <v>0.12995663859380871</v>
      </c>
      <c r="L56" s="21">
        <v>0.15679147291048226</v>
      </c>
      <c r="M56">
        <v>0.12321458956042279</v>
      </c>
      <c r="N56">
        <v>5.3588334202044438E-2</v>
      </c>
      <c r="O56">
        <v>6.923226679145203E-2</v>
      </c>
      <c r="P56">
        <v>0.15147003017542129</v>
      </c>
      <c r="Q56" s="21">
        <v>0.13650472402181557</v>
      </c>
      <c r="R56">
        <v>0.10792019808137049</v>
      </c>
      <c r="S56">
        <v>0.13322127502693218</v>
      </c>
      <c r="T56">
        <v>0.10358572330887372</v>
      </c>
      <c r="U56">
        <v>7.1169910910830442E-2</v>
      </c>
      <c r="V56" s="22"/>
    </row>
    <row r="57" spans="1:22" ht="14.25" thickBot="1">
      <c r="A57">
        <v>440</v>
      </c>
      <c r="B57" s="24">
        <v>1984</v>
      </c>
      <c r="C57">
        <v>4.1999999999999997E-3</v>
      </c>
      <c r="D57" s="19" t="s">
        <v>40</v>
      </c>
      <c r="E57">
        <f t="shared" si="0"/>
        <v>0.32087573145596354</v>
      </c>
      <c r="F57">
        <f t="shared" si="1"/>
        <v>0.2020486788772399</v>
      </c>
      <c r="G57">
        <f t="shared" si="2"/>
        <v>0.17502550890268107</v>
      </c>
      <c r="H57" s="20">
        <v>0.45734193975512027</v>
      </c>
      <c r="I57">
        <v>0.13777769676961144</v>
      </c>
      <c r="J57">
        <v>0.21661068122689811</v>
      </c>
      <c r="K57">
        <v>0.10061639598301191</v>
      </c>
      <c r="L57" s="21">
        <v>0.69203194354517594</v>
      </c>
      <c r="M57">
        <v>5.0528656085197875E-2</v>
      </c>
      <c r="N57">
        <v>0.15669712883000894</v>
      </c>
      <c r="O57">
        <v>6.9178731648045083E-2</v>
      </c>
      <c r="P57">
        <v>3.4790422842323497E-2</v>
      </c>
      <c r="Q57" s="21">
        <v>0.10491319208700597</v>
      </c>
      <c r="R57">
        <v>0.11914075363327725</v>
      </c>
      <c r="S57">
        <v>0.14825657012186394</v>
      </c>
      <c r="T57">
        <v>0.10884291367026858</v>
      </c>
      <c r="U57">
        <v>0.16368760213540787</v>
      </c>
      <c r="V57" s="22">
        <v>6.4968005206999593E-2</v>
      </c>
    </row>
    <row r="58" spans="1:22" ht="14.25" thickBot="1">
      <c r="A58">
        <v>441</v>
      </c>
      <c r="B58">
        <v>2011</v>
      </c>
      <c r="C58">
        <v>7.7999999999999996E-3</v>
      </c>
      <c r="D58" s="19" t="s">
        <v>40</v>
      </c>
      <c r="E58">
        <f t="shared" si="0"/>
        <v>0.31304917690635764</v>
      </c>
      <c r="F58">
        <f t="shared" si="1"/>
        <v>0.24947334457756815</v>
      </c>
      <c r="H58" s="20">
        <v>0.36057842993542566</v>
      </c>
      <c r="I58">
        <v>0.23000385261888678</v>
      </c>
      <c r="J58">
        <v>0.29951841523151618</v>
      </c>
      <c r="K58">
        <v>0.43397479587450938</v>
      </c>
      <c r="L58" s="21">
        <v>0.24117039087145012</v>
      </c>
      <c r="M58">
        <v>0.17794961464042153</v>
      </c>
      <c r="N58">
        <v>0.26448756683002383</v>
      </c>
      <c r="O58">
        <v>0.31013599292751842</v>
      </c>
      <c r="P58">
        <v>0.12133472645880931</v>
      </c>
      <c r="Q58" s="21">
        <v>5.5579660387120158E-2</v>
      </c>
      <c r="R58">
        <v>0.44333736835867404</v>
      </c>
      <c r="V58" s="22"/>
    </row>
    <row r="59" spans="1:22" ht="14.25" thickBot="1">
      <c r="A59">
        <v>443</v>
      </c>
      <c r="B59" s="24">
        <v>1984</v>
      </c>
      <c r="C59">
        <v>3.8999999999999998E-3</v>
      </c>
      <c r="D59" s="19" t="s">
        <v>40</v>
      </c>
      <c r="E59">
        <f t="shared" si="0"/>
        <v>9.6894268560696301E-2</v>
      </c>
      <c r="F59">
        <f t="shared" si="1"/>
        <v>0.17294852713259914</v>
      </c>
      <c r="G59">
        <f t="shared" si="2"/>
        <v>0.16245685937573934</v>
      </c>
      <c r="H59" s="20">
        <v>0.20011811189106002</v>
      </c>
      <c r="I59">
        <v>8.5554051950676363E-2</v>
      </c>
      <c r="J59">
        <v>5.3953091577577252E-2</v>
      </c>
      <c r="K59">
        <v>0.11405024955603398</v>
      </c>
      <c r="L59" s="21">
        <v>3.0795837828133832E-2</v>
      </c>
      <c r="M59">
        <v>0.33072005617018863</v>
      </c>
      <c r="N59">
        <v>0.32284865906926219</v>
      </c>
      <c r="O59">
        <v>0.36238702790541866</v>
      </c>
      <c r="P59">
        <v>0.11317408682786019</v>
      </c>
      <c r="Q59" s="21">
        <v>0.11588409854978012</v>
      </c>
      <c r="R59">
        <v>0.22097729114802472</v>
      </c>
      <c r="S59">
        <v>0.20528695715838047</v>
      </c>
      <c r="T59">
        <v>4.3009769705051611E-2</v>
      </c>
      <c r="U59">
        <v>0.17518032091091526</v>
      </c>
      <c r="V59" s="22">
        <v>6.2913280387726145E-2</v>
      </c>
    </row>
    <row r="60" spans="1:22" ht="14.25" thickBot="1">
      <c r="A60">
        <v>444</v>
      </c>
      <c r="B60">
        <v>2003</v>
      </c>
      <c r="C60">
        <v>2.2000000000000001E-3</v>
      </c>
      <c r="D60" s="19" t="s">
        <v>40</v>
      </c>
      <c r="E60">
        <f t="shared" si="0"/>
        <v>0.1559775384061165</v>
      </c>
      <c r="F60">
        <f t="shared" si="1"/>
        <v>0.11784261378116492</v>
      </c>
      <c r="G60">
        <f t="shared" si="2"/>
        <v>0.10597682007377943</v>
      </c>
      <c r="H60" s="20">
        <v>0.2367349566115356</v>
      </c>
      <c r="I60">
        <v>0.11515566598756631</v>
      </c>
      <c r="J60">
        <v>0.28494953687389812</v>
      </c>
      <c r="K60">
        <v>7.4291461894364877E-2</v>
      </c>
      <c r="L60" s="21">
        <v>6.875607066321765E-2</v>
      </c>
      <c r="M60">
        <v>7.5947137575517187E-2</v>
      </c>
      <c r="N60">
        <v>0.12057038501823283</v>
      </c>
      <c r="O60">
        <v>5.0827221845490343E-2</v>
      </c>
      <c r="P60">
        <v>9.3376867981435116E-2</v>
      </c>
      <c r="Q60" s="21">
        <v>5.7816833360391208E-2</v>
      </c>
      <c r="R60">
        <v>5.8365332609264034E-2</v>
      </c>
      <c r="S60">
        <v>5.4386984814137972E-2</v>
      </c>
      <c r="T60">
        <v>0.10822864424758981</v>
      </c>
      <c r="U60">
        <v>0.12543885880739766</v>
      </c>
      <c r="V60" s="22">
        <v>6.4806342816652762E-2</v>
      </c>
    </row>
    <row r="61" spans="1:22" ht="14.25" thickBot="1">
      <c r="A61">
        <v>445</v>
      </c>
      <c r="B61">
        <v>1988</v>
      </c>
      <c r="C61">
        <v>1.4200000000000001E-2</v>
      </c>
      <c r="D61" s="19" t="s">
        <v>45</v>
      </c>
      <c r="E61">
        <f t="shared" si="0"/>
        <v>0.23457166865038254</v>
      </c>
      <c r="F61">
        <f t="shared" si="1"/>
        <v>0.16967284518466047</v>
      </c>
      <c r="G61">
        <f t="shared" si="2"/>
        <v>0.13362115129585475</v>
      </c>
      <c r="H61" s="20">
        <v>0.29636592326130845</v>
      </c>
      <c r="I61">
        <v>0.36894220209105455</v>
      </c>
      <c r="J61">
        <v>0.136879326458894</v>
      </c>
      <c r="K61">
        <v>0.19248524540515807</v>
      </c>
      <c r="L61" s="21">
        <v>0.17818564603549755</v>
      </c>
      <c r="M61">
        <v>0.13726489970287856</v>
      </c>
      <c r="N61">
        <v>7.5411133798450894E-2</v>
      </c>
      <c r="O61">
        <v>0.1755596033157284</v>
      </c>
      <c r="P61">
        <v>6.5314334258604195E-2</v>
      </c>
      <c r="Q61" s="21">
        <v>7.0320137519030004E-2</v>
      </c>
      <c r="R61">
        <v>8.03811503873057E-2</v>
      </c>
      <c r="S61">
        <v>4.1103479638320908E-2</v>
      </c>
      <c r="T61">
        <v>0.1077167800139555</v>
      </c>
      <c r="U61">
        <v>2.5673701466154612E-2</v>
      </c>
      <c r="V61" s="22">
        <v>5.2713706085479553E-2</v>
      </c>
    </row>
    <row r="62" spans="1:22" ht="14.25" thickBot="1">
      <c r="A62">
        <v>446</v>
      </c>
      <c r="B62">
        <v>2001</v>
      </c>
      <c r="C62">
        <v>1.2200000000000001E-2</v>
      </c>
      <c r="D62" s="19" t="s">
        <v>45</v>
      </c>
      <c r="E62">
        <f t="shared" si="0"/>
        <v>0.44981732839859401</v>
      </c>
      <c r="F62">
        <f t="shared" si="1"/>
        <v>0.27828339115001066</v>
      </c>
      <c r="G62">
        <f t="shared" si="2"/>
        <v>0.23141831426884479</v>
      </c>
      <c r="H62" s="20">
        <v>0.5913491091156009</v>
      </c>
      <c r="I62">
        <v>0.72234081010689954</v>
      </c>
      <c r="J62">
        <v>0.67525104071378339</v>
      </c>
      <c r="K62">
        <v>0.22162967019545995</v>
      </c>
      <c r="L62" s="21">
        <v>3.8516011861226045E-2</v>
      </c>
      <c r="M62">
        <v>8.9891607323169503E-2</v>
      </c>
      <c r="N62">
        <v>3.977725614733775E-2</v>
      </c>
      <c r="O62">
        <v>0.11139688442760876</v>
      </c>
      <c r="P62">
        <v>0.19026129781974124</v>
      </c>
      <c r="Q62" s="21">
        <v>0.10242022378927849</v>
      </c>
      <c r="R62">
        <v>0.25081083139137994</v>
      </c>
      <c r="S62">
        <v>0.10836161788801359</v>
      </c>
      <c r="T62">
        <v>0.1289540454194377</v>
      </c>
      <c r="U62">
        <v>0.1114685851688413</v>
      </c>
      <c r="V62" s="22">
        <v>8.8845722664892421E-2</v>
      </c>
    </row>
    <row r="63" spans="1:22" ht="14.25" thickBot="1">
      <c r="A63">
        <v>447</v>
      </c>
      <c r="B63">
        <v>2000</v>
      </c>
      <c r="C63">
        <v>8.8000000000000005E-3</v>
      </c>
      <c r="D63" s="19" t="s">
        <v>45</v>
      </c>
      <c r="E63">
        <f t="shared" si="0"/>
        <v>0.45838080461766734</v>
      </c>
      <c r="F63">
        <f t="shared" si="1"/>
        <v>0.30099445813467701</v>
      </c>
      <c r="G63">
        <f t="shared" si="2"/>
        <v>0.25392294778824392</v>
      </c>
      <c r="H63" s="20">
        <v>1.1723049250797162</v>
      </c>
      <c r="I63">
        <v>0.19879800122086078</v>
      </c>
      <c r="J63">
        <v>0.53012637971375809</v>
      </c>
      <c r="K63">
        <v>0.19425414714618908</v>
      </c>
      <c r="L63" s="21">
        <v>0.19642056992781257</v>
      </c>
      <c r="M63">
        <v>0.28329363276440755</v>
      </c>
      <c r="N63">
        <v>6.2051436533806889E-2</v>
      </c>
      <c r="O63">
        <v>0.1262330896346136</v>
      </c>
      <c r="P63">
        <v>0.1952541102794407</v>
      </c>
      <c r="Q63" s="21">
        <v>5.1208289046165194E-2</v>
      </c>
      <c r="R63">
        <v>0.13012719097412506</v>
      </c>
      <c r="S63">
        <v>0.11688434643310493</v>
      </c>
      <c r="T63">
        <v>0.18221875101443913</v>
      </c>
      <c r="U63">
        <v>4.0961534936123957E-2</v>
      </c>
      <c r="V63" s="22">
        <v>0.3287078121190955</v>
      </c>
    </row>
    <row r="64" spans="1:22" ht="14.25" thickBot="1">
      <c r="A64">
        <v>448</v>
      </c>
      <c r="B64">
        <v>1985</v>
      </c>
      <c r="C64">
        <v>9.5999999999999992E-3</v>
      </c>
      <c r="D64" s="19" t="s">
        <v>45</v>
      </c>
      <c r="E64">
        <f t="shared" si="0"/>
        <v>0.33249588387243911</v>
      </c>
      <c r="F64">
        <f t="shared" si="1"/>
        <v>0.18199378417047332</v>
      </c>
      <c r="G64">
        <f t="shared" si="2"/>
        <v>0.17233695131710464</v>
      </c>
      <c r="H64" s="20">
        <v>0.67014450491619137</v>
      </c>
      <c r="I64">
        <v>0.34225907987775717</v>
      </c>
      <c r="J64">
        <v>0.26600871840878826</v>
      </c>
      <c r="K64">
        <v>0.30205356571279324</v>
      </c>
      <c r="L64" s="21">
        <v>8.2013550446665445E-2</v>
      </c>
      <c r="M64">
        <v>2.7298673885722696E-2</v>
      </c>
      <c r="N64">
        <v>1.0616712832573745E-2</v>
      </c>
      <c r="O64">
        <v>4.2451886950661398E-2</v>
      </c>
      <c r="P64">
        <v>6.2593685433265225E-2</v>
      </c>
      <c r="Q64" s="21">
        <v>1.4497463240314805E-2</v>
      </c>
      <c r="R64">
        <v>0.13788871865581326</v>
      </c>
      <c r="S64">
        <v>0.3039550886717261</v>
      </c>
      <c r="T64">
        <v>9.6303114765140543E-2</v>
      </c>
      <c r="U64">
        <v>5.7757395528196954E-2</v>
      </c>
      <c r="V64" s="22">
        <v>0.16921211043095927</v>
      </c>
    </row>
    <row r="65" spans="1:22" ht="14.25" thickBot="1">
      <c r="A65">
        <v>451</v>
      </c>
      <c r="B65">
        <v>2017</v>
      </c>
      <c r="C65">
        <v>8.6E-3</v>
      </c>
      <c r="D65" s="19" t="s">
        <v>45</v>
      </c>
      <c r="E65">
        <f t="shared" si="0"/>
        <v>0.28590531892399129</v>
      </c>
      <c r="H65" s="20">
        <v>0.44447876277608295</v>
      </c>
      <c r="I65">
        <v>0.298358747158393</v>
      </c>
      <c r="J65">
        <v>0.23208353550608829</v>
      </c>
      <c r="K65">
        <v>0.31571618719776906</v>
      </c>
      <c r="L65" s="21">
        <v>0.13888936198162313</v>
      </c>
      <c r="P65"/>
      <c r="Q65" s="21"/>
      <c r="V65" s="22"/>
    </row>
    <row r="66" spans="1:22" ht="14.25" thickBot="1">
      <c r="A66">
        <v>457</v>
      </c>
      <c r="B66">
        <v>1989</v>
      </c>
      <c r="C66">
        <v>4.7000000000000002E-3</v>
      </c>
      <c r="D66" s="19" t="s">
        <v>45</v>
      </c>
      <c r="E66">
        <f t="shared" si="0"/>
        <v>0.27510376107329443</v>
      </c>
      <c r="F66">
        <f t="shared" si="1"/>
        <v>0.20873885565104433</v>
      </c>
      <c r="G66">
        <f t="shared" si="2"/>
        <v>0.16768436071079926</v>
      </c>
      <c r="H66" s="20">
        <v>0.56086394936906081</v>
      </c>
      <c r="I66">
        <v>0.14281953136076406</v>
      </c>
      <c r="J66">
        <v>0.20976099485570021</v>
      </c>
      <c r="K66">
        <v>0.160134540573</v>
      </c>
      <c r="L66" s="21">
        <v>0.30193978920794712</v>
      </c>
      <c r="M66">
        <v>0.1960696648890865</v>
      </c>
      <c r="N66">
        <v>0.11815930594065657</v>
      </c>
      <c r="O66">
        <v>0.18205007855258501</v>
      </c>
      <c r="P66">
        <v>6.3049175090479498E-2</v>
      </c>
      <c r="Q66" s="21">
        <v>0.15254152667116344</v>
      </c>
      <c r="R66">
        <v>9.488047433380313E-2</v>
      </c>
      <c r="S66">
        <v>0.1224467429616177</v>
      </c>
      <c r="T66">
        <v>5.5623367387448996E-2</v>
      </c>
      <c r="U66">
        <v>8.6650858119764335E-2</v>
      </c>
      <c r="V66" s="22">
        <v>6.8275411348911422E-2</v>
      </c>
    </row>
    <row r="67" spans="1:22" ht="14.25" thickBot="1">
      <c r="A67">
        <v>465</v>
      </c>
      <c r="B67">
        <v>2000</v>
      </c>
      <c r="C67">
        <v>3.2000000000000002E-3</v>
      </c>
      <c r="D67" s="19" t="s">
        <v>46</v>
      </c>
      <c r="E67">
        <f t="shared" ref="E67:E130" si="3">AVERAGE(H67:L67)</f>
        <v>0.35982223034220379</v>
      </c>
      <c r="F67">
        <f t="shared" ref="F67:F130" si="4">AVERAGE(H67:Q67)</f>
        <v>0.26275274906025486</v>
      </c>
      <c r="G67">
        <f t="shared" ref="G67:G130" si="5">AVERAGE(H67:V67)</f>
        <v>0.21753890072342699</v>
      </c>
      <c r="H67" s="20">
        <v>0.689936867448673</v>
      </c>
      <c r="I67">
        <v>0.45946838497145459</v>
      </c>
      <c r="J67">
        <v>0.16017053127409048</v>
      </c>
      <c r="K67">
        <v>0.22136698584054737</v>
      </c>
      <c r="L67" s="21">
        <v>0.26816838217625349</v>
      </c>
      <c r="M67">
        <v>0.25813329931894519</v>
      </c>
      <c r="N67">
        <v>0.19416905319006714</v>
      </c>
      <c r="O67">
        <v>8.1132682748670873E-2</v>
      </c>
      <c r="P67">
        <v>0.14419995145013059</v>
      </c>
      <c r="Q67" s="21">
        <v>0.15078135218371577</v>
      </c>
      <c r="R67">
        <v>2.4231945557881152E-2</v>
      </c>
      <c r="S67">
        <v>0.28736448583644786</v>
      </c>
      <c r="T67">
        <v>0.12812289102828431</v>
      </c>
      <c r="U67">
        <v>0.11424320794574816</v>
      </c>
      <c r="V67" s="22">
        <v>8.159348988049453E-2</v>
      </c>
    </row>
    <row r="68" spans="1:22" ht="14.25" thickBot="1">
      <c r="A68">
        <v>468</v>
      </c>
      <c r="B68">
        <v>2011</v>
      </c>
      <c r="C68">
        <v>2.3999999999999998E-3</v>
      </c>
      <c r="D68" s="19" t="s">
        <v>46</v>
      </c>
      <c r="E68">
        <f t="shared" si="3"/>
        <v>0.58365451124947454</v>
      </c>
      <c r="F68">
        <f t="shared" si="4"/>
        <v>0.53631506961018771</v>
      </c>
      <c r="G68">
        <f t="shared" si="5"/>
        <v>0.52514789472668688</v>
      </c>
      <c r="H68" s="20">
        <v>0.87503040370198559</v>
      </c>
      <c r="I68">
        <v>0.8074397821922108</v>
      </c>
      <c r="J68">
        <v>0.60030594387949809</v>
      </c>
      <c r="K68">
        <v>0.28734988264835193</v>
      </c>
      <c r="L68" s="21">
        <v>0.34814654382532584</v>
      </c>
      <c r="M68">
        <v>0.52425241983113413</v>
      </c>
      <c r="N68">
        <v>0.49199406730530754</v>
      </c>
      <c r="O68">
        <v>0.53274930906677032</v>
      </c>
      <c r="P68">
        <v>0.48605326481543526</v>
      </c>
      <c r="Q68" s="21">
        <v>0.40982907883585751</v>
      </c>
      <c r="R68">
        <v>0.41347614589167808</v>
      </c>
      <c r="V68" s="22"/>
    </row>
    <row r="69" spans="1:22" ht="14.25" thickBot="1">
      <c r="A69">
        <v>470</v>
      </c>
      <c r="B69">
        <v>2018</v>
      </c>
      <c r="C69">
        <v>3.3E-3</v>
      </c>
      <c r="D69" s="19" t="s">
        <v>46</v>
      </c>
      <c r="E69">
        <f t="shared" si="3"/>
        <v>0.49479346222180931</v>
      </c>
      <c r="H69" s="20">
        <v>0.38148352212713449</v>
      </c>
      <c r="I69">
        <v>0.73768919324628746</v>
      </c>
      <c r="J69">
        <v>0.3652076712920061</v>
      </c>
      <c r="K69"/>
      <c r="L69" s="21"/>
      <c r="P69"/>
      <c r="Q69" s="21"/>
      <c r="V69" s="22"/>
    </row>
    <row r="70" spans="1:22" ht="14.25" thickBot="1">
      <c r="A70">
        <v>471</v>
      </c>
      <c r="B70">
        <v>2016</v>
      </c>
      <c r="C70">
        <v>1.6000000000000001E-3</v>
      </c>
      <c r="D70" s="19" t="s">
        <v>46</v>
      </c>
      <c r="E70">
        <f t="shared" si="3"/>
        <v>0.51920384718574952</v>
      </c>
      <c r="H70" s="20">
        <v>0.6908800468893086</v>
      </c>
      <c r="I70">
        <v>0.89031201701201101</v>
      </c>
      <c r="J70">
        <v>0.535517820881247</v>
      </c>
      <c r="K70">
        <v>0.29354587682759448</v>
      </c>
      <c r="L70" s="21">
        <v>0.18576347431858697</v>
      </c>
      <c r="P70"/>
      <c r="Q70" s="21"/>
      <c r="V70" s="22"/>
    </row>
    <row r="71" spans="1:22" ht="14.25" thickBot="1">
      <c r="A71">
        <v>478</v>
      </c>
      <c r="B71">
        <v>2011</v>
      </c>
      <c r="C71">
        <v>4.4000000000000003E-3</v>
      </c>
      <c r="D71" s="19" t="s">
        <v>46</v>
      </c>
      <c r="E71">
        <f t="shared" si="3"/>
        <v>0.66169754373237688</v>
      </c>
      <c r="F71">
        <f t="shared" si="4"/>
        <v>0.51467713350926403</v>
      </c>
      <c r="G71">
        <f t="shared" si="5"/>
        <v>0.4959922610510466</v>
      </c>
      <c r="H71" s="20">
        <v>0.76587036149913701</v>
      </c>
      <c r="I71">
        <v>0.59579467047963763</v>
      </c>
      <c r="J71">
        <v>0.59410454639580934</v>
      </c>
      <c r="K71">
        <v>0.57385471629548235</v>
      </c>
      <c r="L71" s="21">
        <v>0.77886342399181852</v>
      </c>
      <c r="M71">
        <v>0.91322811517143743</v>
      </c>
      <c r="N71">
        <v>0.45506928895159732</v>
      </c>
      <c r="O71">
        <v>0.21784658619322816</v>
      </c>
      <c r="P71">
        <v>0.1421555961277558</v>
      </c>
      <c r="Q71" s="21">
        <v>0.10998402998673673</v>
      </c>
      <c r="R71">
        <v>0.30914353646887238</v>
      </c>
      <c r="V71" s="22"/>
    </row>
    <row r="72" spans="1:22" ht="14.25" thickBot="1">
      <c r="A72">
        <v>479</v>
      </c>
      <c r="B72">
        <v>2014</v>
      </c>
      <c r="C72">
        <v>1E-3</v>
      </c>
      <c r="D72" s="19" t="s">
        <v>46</v>
      </c>
      <c r="E72">
        <f t="shared" si="3"/>
        <v>0.69669907197525061</v>
      </c>
      <c r="F72">
        <f t="shared" si="4"/>
        <v>0.74320609072194899</v>
      </c>
      <c r="H72" s="20">
        <v>1.0294956671857816</v>
      </c>
      <c r="I72">
        <v>0.55941092079813204</v>
      </c>
      <c r="J72">
        <v>0.37141959055241841</v>
      </c>
      <c r="K72">
        <v>0.32473053821140524</v>
      </c>
      <c r="L72" s="21">
        <v>1.1984386431285152</v>
      </c>
      <c r="M72">
        <v>0.73336291259242248</v>
      </c>
      <c r="N72">
        <v>1.0903510172099302</v>
      </c>
      <c r="O72">
        <v>0.63843943609698639</v>
      </c>
      <c r="P72"/>
      <c r="Q72" s="21"/>
      <c r="V72" s="22"/>
    </row>
    <row r="73" spans="1:22" ht="14.25" thickBot="1">
      <c r="A73">
        <v>480</v>
      </c>
      <c r="B73">
        <v>1990</v>
      </c>
      <c r="C73">
        <v>2.2000000000000001E-3</v>
      </c>
      <c r="D73" s="19" t="s">
        <v>46</v>
      </c>
      <c r="E73">
        <f t="shared" si="3"/>
        <v>0.32785462957638095</v>
      </c>
      <c r="F73">
        <f t="shared" si="4"/>
        <v>0.22618274696441856</v>
      </c>
      <c r="G73">
        <f t="shared" si="5"/>
        <v>0.20145235041289014</v>
      </c>
      <c r="H73" s="20">
        <v>0.86303903519316449</v>
      </c>
      <c r="I73">
        <v>0.21902839159470389</v>
      </c>
      <c r="J73">
        <v>0.19831127491955539</v>
      </c>
      <c r="K73">
        <v>0.23183785486875333</v>
      </c>
      <c r="L73" s="21">
        <v>0.12705659130572744</v>
      </c>
      <c r="M73">
        <v>0.11546080416486562</v>
      </c>
      <c r="N73">
        <v>8.5644661150572704E-2</v>
      </c>
      <c r="O73">
        <v>8.0176960515365076E-2</v>
      </c>
      <c r="P73">
        <v>0.173789573359172</v>
      </c>
      <c r="Q73" s="21">
        <v>0.16748232257230564</v>
      </c>
      <c r="R73">
        <v>6.7468873895962109E-2</v>
      </c>
      <c r="S73">
        <v>0.16554458304808764</v>
      </c>
      <c r="T73">
        <v>0.2021661349262289</v>
      </c>
      <c r="U73">
        <v>0.16316527289887933</v>
      </c>
      <c r="V73" s="22">
        <v>0.16161292178000852</v>
      </c>
    </row>
    <row r="74" spans="1:22" ht="14.25" thickBot="1">
      <c r="A74">
        <v>483</v>
      </c>
      <c r="B74">
        <v>2013</v>
      </c>
      <c r="C74">
        <v>4.3E-3</v>
      </c>
      <c r="D74" s="19" t="s">
        <v>46</v>
      </c>
      <c r="E74">
        <f t="shared" si="3"/>
        <v>0.61209119829812553</v>
      </c>
      <c r="F74">
        <f t="shared" si="4"/>
        <v>0.46587593783577941</v>
      </c>
      <c r="H74" s="20">
        <v>0.68126830425132279</v>
      </c>
      <c r="I74">
        <v>0.90961539542825165</v>
      </c>
      <c r="J74">
        <v>0.36695507896054863</v>
      </c>
      <c r="K74">
        <v>0.50663812413635445</v>
      </c>
      <c r="L74" s="21">
        <v>0.59597908871414973</v>
      </c>
      <c r="M74">
        <v>0.31712797347382943</v>
      </c>
      <c r="N74">
        <v>0.2376063242222444</v>
      </c>
      <c r="O74">
        <v>0.33617124072056775</v>
      </c>
      <c r="P74">
        <v>0.2415219106147454</v>
      </c>
      <c r="Q74" s="21"/>
      <c r="V74" s="22"/>
    </row>
    <row r="75" spans="1:22" ht="27.75" thickBot="1">
      <c r="A75">
        <v>485</v>
      </c>
      <c r="B75">
        <v>2014</v>
      </c>
      <c r="C75">
        <v>3.5999999999999999E-3</v>
      </c>
      <c r="D75" s="19" t="s">
        <v>36</v>
      </c>
      <c r="E75">
        <f t="shared" si="3"/>
        <v>0.52423161096221482</v>
      </c>
      <c r="F75">
        <f t="shared" si="4"/>
        <v>0.4235129930325543</v>
      </c>
      <c r="H75" s="20">
        <v>0.88407523629766838</v>
      </c>
      <c r="I75">
        <v>0.38344197452566831</v>
      </c>
      <c r="J75">
        <v>0.38629575285942025</v>
      </c>
      <c r="K75">
        <v>0.38270987829515474</v>
      </c>
      <c r="L75" s="21">
        <v>0.58463521283316244</v>
      </c>
      <c r="M75">
        <v>0.26563700031079424</v>
      </c>
      <c r="N75">
        <v>0.12843272964849706</v>
      </c>
      <c r="O75">
        <v>0.37287615949006914</v>
      </c>
      <c r="P75"/>
      <c r="Q75" s="21"/>
      <c r="V75" s="22"/>
    </row>
    <row r="76" spans="1:22" ht="14.25" thickBot="1">
      <c r="A76">
        <v>487</v>
      </c>
      <c r="B76">
        <v>1992</v>
      </c>
      <c r="C76">
        <v>3.2000000000000002E-3</v>
      </c>
      <c r="D76" s="19" t="s">
        <v>46</v>
      </c>
      <c r="E76">
        <f t="shared" si="3"/>
        <v>1.0181805621987445</v>
      </c>
      <c r="H76" s="20">
        <v>1.2905918026078758</v>
      </c>
      <c r="I76">
        <v>1.3809190203597974</v>
      </c>
      <c r="J76">
        <v>0.68240456484938772</v>
      </c>
      <c r="K76">
        <v>0.71880686097791768</v>
      </c>
      <c r="L76" s="21"/>
      <c r="P76"/>
      <c r="Q76" s="21"/>
      <c r="V76" s="22"/>
    </row>
    <row r="77" spans="1:22" ht="14.25" thickBot="1">
      <c r="A77">
        <v>490</v>
      </c>
      <c r="B77">
        <v>2014</v>
      </c>
      <c r="C77">
        <v>1.6999999999999999E-3</v>
      </c>
      <c r="D77" s="19" t="s">
        <v>46</v>
      </c>
      <c r="E77">
        <f t="shared" si="3"/>
        <v>0.59257767202657563</v>
      </c>
      <c r="F77">
        <f t="shared" si="4"/>
        <v>0.50772837578549024</v>
      </c>
      <c r="H77" s="20">
        <v>1.280214697274368</v>
      </c>
      <c r="I77">
        <v>0.72347419616888975</v>
      </c>
      <c r="J77">
        <v>0.40838159509192212</v>
      </c>
      <c r="K77">
        <v>0.31030136673469549</v>
      </c>
      <c r="L77" s="21">
        <v>0.24051650486300311</v>
      </c>
      <c r="M77">
        <v>0.28232067498171215</v>
      </c>
      <c r="N77">
        <v>0.36818208467767927</v>
      </c>
      <c r="O77">
        <v>0.44843588649165217</v>
      </c>
      <c r="P77"/>
      <c r="Q77" s="21"/>
      <c r="V77" s="22"/>
    </row>
    <row r="78" spans="1:22" ht="14.25" thickBot="1">
      <c r="A78">
        <v>491</v>
      </c>
      <c r="B78" s="24">
        <v>1984</v>
      </c>
      <c r="C78">
        <v>3.3999999999999998E-3</v>
      </c>
      <c r="D78" s="19" t="s">
        <v>47</v>
      </c>
      <c r="E78">
        <f t="shared" si="3"/>
        <v>0.36564188798864822</v>
      </c>
      <c r="F78">
        <f t="shared" si="4"/>
        <v>0.25347063450747026</v>
      </c>
      <c r="G78">
        <f t="shared" si="5"/>
        <v>0.20546163554365063</v>
      </c>
      <c r="H78" s="20">
        <v>0.32255590663493378</v>
      </c>
      <c r="I78">
        <v>0.17455904301252895</v>
      </c>
      <c r="J78">
        <v>1.1076563771549142</v>
      </c>
      <c r="K78">
        <v>0.12335902181220873</v>
      </c>
      <c r="L78" s="21">
        <v>0.10007909132865547</v>
      </c>
      <c r="M78">
        <v>9.8194059007047557E-2</v>
      </c>
      <c r="N78">
        <v>0.21125388405784337</v>
      </c>
      <c r="O78">
        <v>0.18922571349676745</v>
      </c>
      <c r="P78">
        <v>0.11736849555614456</v>
      </c>
      <c r="Q78" s="21">
        <v>9.045475301365849E-2</v>
      </c>
      <c r="R78">
        <v>0.11017836368665743</v>
      </c>
      <c r="S78">
        <v>0.11451594111902368</v>
      </c>
      <c r="T78">
        <v>5.9696604261648092E-2</v>
      </c>
      <c r="U78">
        <v>9.7039996387786903E-2</v>
      </c>
      <c r="V78" s="22">
        <v>0.16578728262494072</v>
      </c>
    </row>
    <row r="79" spans="1:22" ht="14.25" thickBot="1">
      <c r="A79">
        <v>493</v>
      </c>
      <c r="B79">
        <v>1996</v>
      </c>
      <c r="C79">
        <v>1.47E-2</v>
      </c>
      <c r="D79" s="19" t="s">
        <v>47</v>
      </c>
      <c r="E79">
        <f t="shared" si="3"/>
        <v>0.45695219067632598</v>
      </c>
      <c r="F79">
        <f t="shared" si="4"/>
        <v>0.36346952507823077</v>
      </c>
      <c r="G79">
        <f t="shared" si="5"/>
        <v>0.28575626143843469</v>
      </c>
      <c r="H79" s="20">
        <v>1.0644428863403255</v>
      </c>
      <c r="I79">
        <v>0.30378479873684072</v>
      </c>
      <c r="J79">
        <v>0.6607719478062809</v>
      </c>
      <c r="K79">
        <v>9.2212634985415098E-2</v>
      </c>
      <c r="L79" s="21">
        <v>0.16354868551276808</v>
      </c>
      <c r="M79">
        <v>0.51650580692601045</v>
      </c>
      <c r="N79">
        <v>0.40280532083960863</v>
      </c>
      <c r="O79">
        <v>0.19466503944370472</v>
      </c>
      <c r="P79">
        <v>6.9088387479100219E-2</v>
      </c>
      <c r="Q79" s="21">
        <v>0.16686974271225341</v>
      </c>
      <c r="R79">
        <v>2.8540543569122855E-2</v>
      </c>
      <c r="S79">
        <v>0.33624607428951725</v>
      </c>
      <c r="T79">
        <v>0.12999568056432731</v>
      </c>
      <c r="U79">
        <v>0.12959763511241995</v>
      </c>
      <c r="V79" s="22">
        <v>2.7268737258825393E-2</v>
      </c>
    </row>
    <row r="80" spans="1:22" ht="14.25" thickBot="1">
      <c r="A80">
        <v>494</v>
      </c>
      <c r="B80">
        <v>1993</v>
      </c>
      <c r="C80">
        <v>6.8999999999999999E-3</v>
      </c>
      <c r="D80" s="19" t="s">
        <v>47</v>
      </c>
      <c r="E80">
        <f t="shared" si="3"/>
        <v>0.58044941883566792</v>
      </c>
      <c r="F80">
        <f t="shared" si="4"/>
        <v>0.37214199068318915</v>
      </c>
      <c r="G80">
        <f t="shared" si="5"/>
        <v>0.27503440006113589</v>
      </c>
      <c r="H80" s="20">
        <v>1.6882850255218393</v>
      </c>
      <c r="I80">
        <v>0.4384156441216826</v>
      </c>
      <c r="J80">
        <v>0.19744160136831387</v>
      </c>
      <c r="K80">
        <v>0.29038598086482159</v>
      </c>
      <c r="L80" s="21">
        <v>0.28771884230168271</v>
      </c>
      <c r="M80">
        <v>0.31866414560782785</v>
      </c>
      <c r="N80">
        <v>0.23839163619273132</v>
      </c>
      <c r="O80">
        <v>6.8846282622693506E-3</v>
      </c>
      <c r="P80">
        <v>0.1072147749088903</v>
      </c>
      <c r="Q80" s="21">
        <v>0.14801762768183252</v>
      </c>
      <c r="R80">
        <v>7.0124691879425036E-2</v>
      </c>
      <c r="S80">
        <v>0.11996574474482254</v>
      </c>
      <c r="T80">
        <v>0.1271271924216989</v>
      </c>
      <c r="U80">
        <v>1.5399220278022275E-2</v>
      </c>
      <c r="V80" s="22">
        <v>7.1479244761178298E-2</v>
      </c>
    </row>
    <row r="81" spans="1:22" ht="14.25" thickBot="1">
      <c r="A81">
        <v>495</v>
      </c>
      <c r="B81">
        <v>1988</v>
      </c>
      <c r="C81">
        <v>6.1999999999999998E-3</v>
      </c>
      <c r="D81" s="19" t="s">
        <v>47</v>
      </c>
      <c r="E81">
        <f t="shared" si="3"/>
        <v>0.37656656572148878</v>
      </c>
      <c r="F81">
        <f t="shared" si="4"/>
        <v>0.27944852075383619</v>
      </c>
      <c r="G81">
        <f t="shared" si="5"/>
        <v>0.25051076260643446</v>
      </c>
      <c r="H81" s="20">
        <v>0.60828217954594377</v>
      </c>
      <c r="I81">
        <v>0.12569044630415704</v>
      </c>
      <c r="J81">
        <v>0.60703989275661552</v>
      </c>
      <c r="K81">
        <v>0.35461587763413971</v>
      </c>
      <c r="L81" s="21">
        <v>0.18720443236658771</v>
      </c>
      <c r="M81">
        <v>8.0169143531530318E-2</v>
      </c>
      <c r="N81">
        <v>0.16898819564766596</v>
      </c>
      <c r="O81">
        <v>0.19452161443206289</v>
      </c>
      <c r="P81">
        <v>0.18962533237031873</v>
      </c>
      <c r="Q81" s="21">
        <v>0.27834809294933999</v>
      </c>
      <c r="R81">
        <v>0.17359604866506698</v>
      </c>
      <c r="S81">
        <v>0.11239907080853095</v>
      </c>
      <c r="T81">
        <v>0.41366297963196086</v>
      </c>
      <c r="U81">
        <v>0.12557229591401844</v>
      </c>
      <c r="V81" s="22">
        <v>0.13794583653857753</v>
      </c>
    </row>
    <row r="82" spans="1:22" ht="14.25" thickBot="1">
      <c r="A82">
        <v>497</v>
      </c>
      <c r="B82">
        <v>1997</v>
      </c>
      <c r="C82">
        <v>8.0000000000000002E-3</v>
      </c>
      <c r="D82" s="19" t="s">
        <v>47</v>
      </c>
      <c r="E82">
        <f t="shared" si="3"/>
        <v>0.27030849149888048</v>
      </c>
      <c r="F82">
        <f t="shared" si="4"/>
        <v>0.23743796219620825</v>
      </c>
      <c r="G82">
        <f t="shared" si="5"/>
        <v>0.23360689797065151</v>
      </c>
      <c r="H82" s="20">
        <v>0.13090064260385914</v>
      </c>
      <c r="I82">
        <v>8.9346351201519209E-2</v>
      </c>
      <c r="J82">
        <v>0.40900904443149172</v>
      </c>
      <c r="K82">
        <v>0.48906517623410362</v>
      </c>
      <c r="L82" s="21">
        <v>0.23322124302342853</v>
      </c>
      <c r="M82">
        <v>0.23269988524163668</v>
      </c>
      <c r="N82">
        <v>0.30590258428999939</v>
      </c>
      <c r="O82">
        <v>0.10626218231510444</v>
      </c>
      <c r="P82">
        <v>0.16724221322377542</v>
      </c>
      <c r="Q82" s="21">
        <v>0.21073029939716434</v>
      </c>
      <c r="R82">
        <v>0.10800531863505369</v>
      </c>
      <c r="S82">
        <v>0.35964544026733714</v>
      </c>
      <c r="T82">
        <v>0.508614762085426</v>
      </c>
      <c r="U82">
        <v>6.3549013140932101E-2</v>
      </c>
      <c r="V82" s="22">
        <v>8.9909313468940905E-2</v>
      </c>
    </row>
    <row r="83" spans="1:22" ht="14.25" thickBot="1">
      <c r="A83">
        <v>500</v>
      </c>
      <c r="B83">
        <v>1999</v>
      </c>
      <c r="C83">
        <v>3.7000000000000002E-3</v>
      </c>
      <c r="D83" s="19" t="s">
        <v>47</v>
      </c>
      <c r="E83">
        <f t="shared" si="3"/>
        <v>0.36270137013681858</v>
      </c>
      <c r="F83">
        <f t="shared" si="4"/>
        <v>0.28420303101288097</v>
      </c>
      <c r="G83">
        <f t="shared" si="5"/>
        <v>0.22677408836808691</v>
      </c>
      <c r="H83" s="20">
        <v>0.65397843175501502</v>
      </c>
      <c r="I83">
        <v>0.3551207845410323</v>
      </c>
      <c r="J83">
        <v>0.29506832721381437</v>
      </c>
      <c r="K83">
        <v>0.37487547950462818</v>
      </c>
      <c r="L83" s="21">
        <v>0.13446382766960277</v>
      </c>
      <c r="M83">
        <v>3.1395803583332486E-2</v>
      </c>
      <c r="N83">
        <v>0.43287565498568442</v>
      </c>
      <c r="O83">
        <v>0.192353787586756</v>
      </c>
      <c r="P83">
        <v>0.25208832715890844</v>
      </c>
      <c r="Q83" s="21">
        <v>0.11980988613003568</v>
      </c>
      <c r="R83">
        <v>0.12099065714882241</v>
      </c>
      <c r="S83">
        <v>0.15517581582491699</v>
      </c>
      <c r="T83">
        <v>0.10664256496836218</v>
      </c>
      <c r="U83">
        <v>7.7176332438648951E-2</v>
      </c>
      <c r="V83" s="22">
        <v>9.9595645011744102E-2</v>
      </c>
    </row>
    <row r="84" spans="1:22" ht="14.25" thickBot="1">
      <c r="A84">
        <v>504</v>
      </c>
      <c r="B84">
        <v>2005</v>
      </c>
      <c r="C84">
        <v>8.3000000000000001E-3</v>
      </c>
      <c r="D84" s="19" t="s">
        <v>47</v>
      </c>
      <c r="E84">
        <f t="shared" si="3"/>
        <v>0.65332866681622481</v>
      </c>
      <c r="F84">
        <f t="shared" si="4"/>
        <v>0.4226502395312387</v>
      </c>
      <c r="G84">
        <f t="shared" si="5"/>
        <v>0.34714977435063571</v>
      </c>
      <c r="H84" s="20">
        <v>2.0884684894077115</v>
      </c>
      <c r="I84">
        <v>0.50886377869211152</v>
      </c>
      <c r="J84">
        <v>0.22717832497750609</v>
      </c>
      <c r="K84">
        <v>0.27251215365963666</v>
      </c>
      <c r="L84" s="21">
        <v>0.16962058734415841</v>
      </c>
      <c r="M84">
        <v>0.1894340925108762</v>
      </c>
      <c r="N84">
        <v>0.12546971527957479</v>
      </c>
      <c r="O84">
        <v>0.28769415753964678</v>
      </c>
      <c r="P84">
        <v>6.7519738574305405E-2</v>
      </c>
      <c r="Q84" s="21">
        <v>0.28974135732685974</v>
      </c>
      <c r="R84">
        <v>0.30649327307573537</v>
      </c>
      <c r="S84">
        <v>0.1968901183302873</v>
      </c>
      <c r="T84">
        <v>0.13755963058971316</v>
      </c>
      <c r="U84">
        <v>0.24038882378046875</v>
      </c>
      <c r="V84" s="22">
        <v>9.9412374170942799E-2</v>
      </c>
    </row>
    <row r="85" spans="1:22" ht="14.25" thickBot="1">
      <c r="A85">
        <v>509</v>
      </c>
      <c r="B85">
        <v>2014</v>
      </c>
      <c r="C85">
        <v>7.6E-3</v>
      </c>
      <c r="D85" s="19" t="s">
        <v>47</v>
      </c>
      <c r="E85">
        <f t="shared" si="3"/>
        <v>0.58830315769234065</v>
      </c>
      <c r="F85">
        <f t="shared" si="4"/>
        <v>0.43634815741352961</v>
      </c>
      <c r="H85" s="20">
        <v>1.9038335163611315</v>
      </c>
      <c r="I85">
        <v>5.9776753885231862E-2</v>
      </c>
      <c r="J85">
        <v>0.56994135380701583</v>
      </c>
      <c r="K85">
        <v>0.15094522831063623</v>
      </c>
      <c r="L85" s="21">
        <v>0.25701893609768783</v>
      </c>
      <c r="M85">
        <v>0.19107465884377814</v>
      </c>
      <c r="N85">
        <v>0.13808104714262615</v>
      </c>
      <c r="O85">
        <v>0.22011376486012929</v>
      </c>
      <c r="P85"/>
      <c r="Q85" s="21"/>
      <c r="V85" s="22"/>
    </row>
    <row r="86" spans="1:22" ht="14.25" thickBot="1">
      <c r="A86">
        <v>533</v>
      </c>
      <c r="B86">
        <v>1995</v>
      </c>
      <c r="C86">
        <v>1.9E-3</v>
      </c>
      <c r="D86" s="19" t="s">
        <v>42</v>
      </c>
      <c r="E86">
        <f t="shared" si="3"/>
        <v>0.22269598132707075</v>
      </c>
      <c r="F86">
        <f t="shared" si="4"/>
        <v>0.1917042690460781</v>
      </c>
      <c r="G86">
        <f t="shared" si="5"/>
        <v>0.16161276735489888</v>
      </c>
      <c r="H86" s="20">
        <v>0.4867941993616387</v>
      </c>
      <c r="I86">
        <v>0.23559150204117707</v>
      </c>
      <c r="J86">
        <v>0.19979212336828309</v>
      </c>
      <c r="K86">
        <v>0.12098393393801514</v>
      </c>
      <c r="L86" s="21">
        <v>7.0318147926239902E-2</v>
      </c>
      <c r="M86">
        <v>7.8393047815977918E-2</v>
      </c>
      <c r="N86">
        <v>7.8968048599394366E-2</v>
      </c>
      <c r="O86">
        <v>0.10906471013368492</v>
      </c>
      <c r="P86">
        <v>0.32123930121773231</v>
      </c>
      <c r="Q86" s="21">
        <v>0.21589767605863733</v>
      </c>
      <c r="R86">
        <v>0.19664055020860921</v>
      </c>
      <c r="S86">
        <v>6.1706154104082617E-2</v>
      </c>
      <c r="T86">
        <v>8.2713570766106956E-2</v>
      </c>
      <c r="U86">
        <v>1.5351890183011873E-2</v>
      </c>
      <c r="V86" s="22">
        <v>0.15073665460089128</v>
      </c>
    </row>
    <row r="87" spans="1:22" ht="14.25" thickBot="1">
      <c r="A87">
        <v>537</v>
      </c>
      <c r="B87">
        <v>1996</v>
      </c>
      <c r="C87">
        <v>7.7999999999999996E-3</v>
      </c>
      <c r="D87" s="19" t="s">
        <v>49</v>
      </c>
      <c r="E87">
        <f t="shared" si="3"/>
        <v>0.59922107240910338</v>
      </c>
      <c r="F87">
        <f t="shared" si="4"/>
        <v>0.4102577166669808</v>
      </c>
      <c r="G87">
        <f t="shared" si="5"/>
        <v>0.41677753017851782</v>
      </c>
      <c r="H87" s="20">
        <v>1.3423014246715874</v>
      </c>
      <c r="I87">
        <v>0.56422233803475497</v>
      </c>
      <c r="J87">
        <v>0.65372820719996627</v>
      </c>
      <c r="K87">
        <v>0.20228988323951555</v>
      </c>
      <c r="L87" s="21">
        <v>0.2335635088996923</v>
      </c>
      <c r="M87">
        <v>0.29227791532896558</v>
      </c>
      <c r="N87">
        <v>0.1631563284088671</v>
      </c>
      <c r="O87">
        <v>9.384349635357167E-2</v>
      </c>
      <c r="P87">
        <v>0.44171297578960711</v>
      </c>
      <c r="Q87" s="21">
        <v>0.11548108874327982</v>
      </c>
      <c r="R87">
        <v>0.4249340328829273</v>
      </c>
      <c r="S87">
        <v>0.4547564784645991</v>
      </c>
      <c r="T87">
        <v>0.74777300274152592</v>
      </c>
      <c r="U87">
        <v>0.1585033015744072</v>
      </c>
      <c r="V87" s="22">
        <v>0.36311897034450064</v>
      </c>
    </row>
    <row r="88" spans="1:22" ht="14.25" thickBot="1">
      <c r="A88">
        <v>539</v>
      </c>
      <c r="B88">
        <v>2009</v>
      </c>
      <c r="C88">
        <v>1.04E-2</v>
      </c>
      <c r="D88" s="19" t="s">
        <v>49</v>
      </c>
      <c r="E88">
        <f t="shared" si="3"/>
        <v>0.80141907292032921</v>
      </c>
      <c r="F88">
        <f t="shared" si="4"/>
        <v>0.56177217254364009</v>
      </c>
      <c r="G88">
        <f t="shared" si="5"/>
        <v>0.529750096871065</v>
      </c>
      <c r="H88" s="20">
        <v>2.0559028896679186</v>
      </c>
      <c r="I88">
        <v>0.90213737634528091</v>
      </c>
      <c r="J88">
        <v>0.42187377453287189</v>
      </c>
      <c r="K88">
        <v>0.3668747229864957</v>
      </c>
      <c r="L88" s="21">
        <v>0.2603066010690791</v>
      </c>
      <c r="M88">
        <v>0.44361732957504124</v>
      </c>
      <c r="N88">
        <v>0.36837336186130781</v>
      </c>
      <c r="O88">
        <v>0.49873327305429593</v>
      </c>
      <c r="P88">
        <v>0.19075549386943619</v>
      </c>
      <c r="Q88" s="21">
        <v>0.10914690247467314</v>
      </c>
      <c r="R88">
        <v>0.15879468012608142</v>
      </c>
      <c r="S88">
        <v>0.58048475689029866</v>
      </c>
      <c r="V88" s="22"/>
    </row>
    <row r="89" spans="1:22" ht="14.25" thickBot="1">
      <c r="A89">
        <v>540</v>
      </c>
      <c r="B89">
        <v>2018</v>
      </c>
      <c r="C89">
        <v>1.03E-2</v>
      </c>
      <c r="D89" s="19" t="s">
        <v>49</v>
      </c>
      <c r="E89">
        <f t="shared" si="3"/>
        <v>0.79714548905089611</v>
      </c>
      <c r="H89" s="20">
        <v>2.002528415133872</v>
      </c>
      <c r="I89">
        <v>0.76872810924644863</v>
      </c>
      <c r="J89">
        <v>0.48508111016908001</v>
      </c>
      <c r="K89">
        <v>0.20926498651255526</v>
      </c>
      <c r="L89" s="21">
        <v>0.52012482419252459</v>
      </c>
      <c r="P89"/>
      <c r="Q89" s="21"/>
      <c r="V89" s="22"/>
    </row>
    <row r="90" spans="1:22" ht="14.25" thickBot="1">
      <c r="A90">
        <v>541</v>
      </c>
      <c r="B90" s="24">
        <v>1984</v>
      </c>
      <c r="C90">
        <v>2.7000000000000001E-3</v>
      </c>
      <c r="D90" s="19" t="s">
        <v>49</v>
      </c>
      <c r="E90">
        <f t="shared" si="3"/>
        <v>0.94959844288370099</v>
      </c>
      <c r="F90">
        <f t="shared" si="4"/>
        <v>0.66934416584566214</v>
      </c>
      <c r="G90">
        <f t="shared" si="5"/>
        <v>0.64173017963475332</v>
      </c>
      <c r="H90" s="20">
        <v>2.3725679380865987</v>
      </c>
      <c r="I90">
        <v>0.98279082883876723</v>
      </c>
      <c r="J90">
        <v>5.4701775371513363E-2</v>
      </c>
      <c r="K90">
        <v>0.98149750937075775</v>
      </c>
      <c r="L90" s="21">
        <v>0.35643416275086781</v>
      </c>
      <c r="M90">
        <v>1.5446909365988651E-2</v>
      </c>
      <c r="N90">
        <v>0.18358117097110943</v>
      </c>
      <c r="O90">
        <v>0.17625032915530744</v>
      </c>
      <c r="P90">
        <v>0.86544071165752545</v>
      </c>
      <c r="Q90" s="21">
        <v>0.70473032288818582</v>
      </c>
      <c r="R90">
        <v>0.49795542046697133</v>
      </c>
      <c r="S90">
        <v>0.32676652413676921</v>
      </c>
      <c r="T90">
        <v>0.17008872806325562</v>
      </c>
      <c r="U90">
        <v>1.4719379370566086</v>
      </c>
      <c r="V90" s="22">
        <v>0.46576242634107229</v>
      </c>
    </row>
    <row r="91" spans="1:22" ht="14.25" thickBot="1">
      <c r="A91">
        <v>542</v>
      </c>
      <c r="B91">
        <v>2008</v>
      </c>
      <c r="C91">
        <v>5.7000000000000002E-3</v>
      </c>
      <c r="D91" s="19" t="s">
        <v>49</v>
      </c>
      <c r="E91">
        <f t="shared" si="3"/>
        <v>0.95319376330532157</v>
      </c>
      <c r="F91">
        <f t="shared" si="4"/>
        <v>1.0384896100634458</v>
      </c>
      <c r="G91">
        <f t="shared" si="5"/>
        <v>1.0911139493320303</v>
      </c>
      <c r="H91" s="20">
        <v>0.49434675865475503</v>
      </c>
      <c r="I91">
        <v>0.3048856112571609</v>
      </c>
      <c r="J91">
        <v>1.3499649797010131</v>
      </c>
      <c r="K91">
        <v>1.6164099999738173</v>
      </c>
      <c r="L91" s="21">
        <v>1.0003614669398615</v>
      </c>
      <c r="M91">
        <v>0.17341927341951491</v>
      </c>
      <c r="N91">
        <v>0.39185476366031896</v>
      </c>
      <c r="O91">
        <v>1.0652860789903118</v>
      </c>
      <c r="P91">
        <v>3.5833113312377889</v>
      </c>
      <c r="Q91" s="21">
        <v>0.40505583679991608</v>
      </c>
      <c r="R91">
        <v>0.36800248140828629</v>
      </c>
      <c r="S91">
        <v>2.1172147905733794</v>
      </c>
      <c r="T91">
        <v>2.3092354471448466</v>
      </c>
      <c r="U91">
        <v>9.6246470887453098E-2</v>
      </c>
      <c r="V91" s="22"/>
    </row>
    <row r="92" spans="1:22" ht="27.75" thickBot="1">
      <c r="A92">
        <v>552</v>
      </c>
      <c r="B92">
        <v>2009</v>
      </c>
      <c r="C92">
        <v>1.23E-2</v>
      </c>
      <c r="D92" s="19" t="s">
        <v>50</v>
      </c>
      <c r="E92">
        <f t="shared" si="3"/>
        <v>0.31606062058979217</v>
      </c>
      <c r="F92">
        <f t="shared" si="4"/>
        <v>0.63708098332274266</v>
      </c>
      <c r="G92">
        <f t="shared" si="5"/>
        <v>0.62275538464613445</v>
      </c>
      <c r="H92" s="20">
        <v>0.23387989911610957</v>
      </c>
      <c r="I92">
        <v>0.61811747407910034</v>
      </c>
      <c r="J92">
        <v>0.14781904924005429</v>
      </c>
      <c r="K92">
        <v>0.39316081029123218</v>
      </c>
      <c r="L92" s="21">
        <v>0.18732587022246452</v>
      </c>
      <c r="M92">
        <v>0.24520083110148927</v>
      </c>
      <c r="N92">
        <v>0.35508729601009897</v>
      </c>
      <c r="O92">
        <v>0.45132551417699784</v>
      </c>
      <c r="P92">
        <v>0.13222390216616581</v>
      </c>
      <c r="Q92" s="21">
        <v>3.6066691868237144</v>
      </c>
      <c r="R92">
        <v>0.49334652495677217</v>
      </c>
      <c r="S92">
        <v>0.77160447786630426</v>
      </c>
      <c r="T92">
        <v>0.46005916434924432</v>
      </c>
      <c r="V92" s="22"/>
    </row>
    <row r="93" spans="1:22" ht="27.75" thickBot="1">
      <c r="A93">
        <v>554</v>
      </c>
      <c r="B93">
        <v>1988</v>
      </c>
      <c r="C93">
        <v>7.3000000000000001E-3</v>
      </c>
      <c r="D93" s="19" t="s">
        <v>50</v>
      </c>
      <c r="E93">
        <f t="shared" si="3"/>
        <v>0.75258771748442976</v>
      </c>
      <c r="F93">
        <f t="shared" si="4"/>
        <v>0.69147501164119352</v>
      </c>
      <c r="G93">
        <f t="shared" si="5"/>
        <v>0.51829603417116765</v>
      </c>
      <c r="H93" s="20">
        <v>0.92748286721537854</v>
      </c>
      <c r="I93">
        <v>0.59784861749632301</v>
      </c>
      <c r="J93">
        <v>1.3862471839635857</v>
      </c>
      <c r="K93">
        <v>0.45536203019679833</v>
      </c>
      <c r="L93" s="21">
        <v>0.39599788855006318</v>
      </c>
      <c r="M93">
        <v>5.9158897043814003E-2</v>
      </c>
      <c r="N93">
        <v>1.1388447804527011</v>
      </c>
      <c r="O93">
        <v>0.62300604515600955</v>
      </c>
      <c r="P93">
        <v>0.90909964336804649</v>
      </c>
      <c r="Q93" s="21">
        <v>0.42170216296921498</v>
      </c>
      <c r="R93">
        <v>3.328551450456424E-2</v>
      </c>
      <c r="S93">
        <v>0.20974056403228844</v>
      </c>
      <c r="T93">
        <v>0.34246029738701195</v>
      </c>
      <c r="U93">
        <v>0.19054683032917408</v>
      </c>
      <c r="V93" s="22">
        <v>8.3657189902541451E-2</v>
      </c>
    </row>
    <row r="94" spans="1:22" ht="27.75" thickBot="1">
      <c r="A94">
        <v>555</v>
      </c>
      <c r="B94">
        <v>2010</v>
      </c>
      <c r="C94">
        <v>6.4999999999999997E-3</v>
      </c>
      <c r="D94" s="19" t="s">
        <v>50</v>
      </c>
      <c r="E94">
        <f t="shared" si="3"/>
        <v>0.35030933715471113</v>
      </c>
      <c r="F94">
        <f t="shared" si="4"/>
        <v>0.56690502905624474</v>
      </c>
      <c r="G94">
        <f t="shared" si="5"/>
        <v>0.5288243361245144</v>
      </c>
      <c r="H94" s="20">
        <v>0.1866015226970979</v>
      </c>
      <c r="I94">
        <v>0.452778586333419</v>
      </c>
      <c r="J94">
        <v>6.7430482184561047E-2</v>
      </c>
      <c r="K94">
        <v>0.13031526287256207</v>
      </c>
      <c r="L94" s="21">
        <v>0.91442083168591548</v>
      </c>
      <c r="M94">
        <v>0.87899469121773288</v>
      </c>
      <c r="N94">
        <v>2.4644198746788146</v>
      </c>
      <c r="O94">
        <v>0.13244017201913649</v>
      </c>
      <c r="P94">
        <v>0.2051369097091113</v>
      </c>
      <c r="Q94" s="21">
        <v>0.2365119571640964</v>
      </c>
      <c r="R94">
        <v>0.5525545624886895</v>
      </c>
      <c r="S94">
        <v>0.12428718044303626</v>
      </c>
      <c r="V94" s="22"/>
    </row>
    <row r="95" spans="1:22" ht="27.75" thickBot="1">
      <c r="A95">
        <v>558</v>
      </c>
      <c r="B95">
        <v>2007</v>
      </c>
      <c r="C95">
        <v>6.4999999999999997E-3</v>
      </c>
      <c r="D95" s="19" t="s">
        <v>50</v>
      </c>
      <c r="E95">
        <f t="shared" si="3"/>
        <v>1.2625016541045899</v>
      </c>
      <c r="F95">
        <f t="shared" si="4"/>
        <v>1.1531209714773698</v>
      </c>
      <c r="G95">
        <f t="shared" si="5"/>
        <v>0.90058735260413125</v>
      </c>
      <c r="H95" s="20">
        <v>1.2683496830248808</v>
      </c>
      <c r="I95">
        <v>3.7981940118266544</v>
      </c>
      <c r="J95">
        <v>0.52100220140683706</v>
      </c>
      <c r="K95">
        <v>0.25185033826733422</v>
      </c>
      <c r="L95" s="21">
        <v>0.473112035997242</v>
      </c>
      <c r="M95">
        <v>0.25779843623526555</v>
      </c>
      <c r="N95">
        <v>1.7770515662838611</v>
      </c>
      <c r="O95">
        <v>0.37028911103021656</v>
      </c>
      <c r="P95">
        <v>0.87797623445225359</v>
      </c>
      <c r="Q95" s="21">
        <v>1.9355860962491531</v>
      </c>
      <c r="R95">
        <v>0.88292315546943456</v>
      </c>
      <c r="S95">
        <v>0.69300685436785248</v>
      </c>
      <c r="T95">
        <v>0.18920533782097096</v>
      </c>
      <c r="U95">
        <v>0.13226854313942585</v>
      </c>
      <c r="V95" s="22">
        <v>8.0196683490588297E-2</v>
      </c>
    </row>
    <row r="96" spans="1:22" ht="27.75" thickBot="1">
      <c r="A96">
        <v>559</v>
      </c>
      <c r="B96">
        <v>2008</v>
      </c>
      <c r="C96">
        <v>6.1000000000000004E-3</v>
      </c>
      <c r="D96" s="19" t="s">
        <v>51</v>
      </c>
      <c r="E96">
        <f t="shared" si="3"/>
        <v>0.9485261635229586</v>
      </c>
      <c r="F96">
        <f t="shared" si="4"/>
        <v>0.69714550509309281</v>
      </c>
      <c r="G96">
        <f t="shared" si="5"/>
        <v>0.76491199287477485</v>
      </c>
      <c r="H96" s="20">
        <v>0.7791132102016739</v>
      </c>
      <c r="I96">
        <v>1.2789298574713237</v>
      </c>
      <c r="J96">
        <v>0.82034993625870256</v>
      </c>
      <c r="K96">
        <v>1.4958678809527004</v>
      </c>
      <c r="L96" s="21">
        <v>0.36836993273039204</v>
      </c>
      <c r="M96">
        <v>0.20008717648879465</v>
      </c>
      <c r="N96">
        <v>0.28072703390105547</v>
      </c>
      <c r="O96">
        <v>0.1370496795105999</v>
      </c>
      <c r="P96">
        <v>0.49071060821433482</v>
      </c>
      <c r="Q96" s="21">
        <v>1.1202497352013487</v>
      </c>
      <c r="R96">
        <v>0.96736798628416953</v>
      </c>
      <c r="S96">
        <v>1.2392420119594361</v>
      </c>
      <c r="T96">
        <v>1.1013291015669942</v>
      </c>
      <c r="U96">
        <v>0.42937374950531998</v>
      </c>
      <c r="V96" s="22"/>
    </row>
    <row r="97" spans="1:22" ht="14.25" thickBot="1">
      <c r="A97">
        <v>563</v>
      </c>
      <c r="B97">
        <v>1991</v>
      </c>
      <c r="C97">
        <v>9.5999999999999992E-3</v>
      </c>
      <c r="D97" s="19" t="s">
        <v>42</v>
      </c>
      <c r="E97">
        <f t="shared" si="3"/>
        <v>0.50883935081103926</v>
      </c>
      <c r="F97">
        <f t="shared" si="4"/>
        <v>0.34722683356757367</v>
      </c>
      <c r="G97">
        <f t="shared" si="5"/>
        <v>0.28401987924384847</v>
      </c>
      <c r="H97" s="20">
        <v>1.0574569914871881</v>
      </c>
      <c r="I97">
        <v>0.47187862668102265</v>
      </c>
      <c r="J97">
        <v>0.33773101215341866</v>
      </c>
      <c r="K97">
        <v>0.22442971683011934</v>
      </c>
      <c r="L97" s="21">
        <v>0.45270040690344748</v>
      </c>
      <c r="M97">
        <v>0.2466257254041628</v>
      </c>
      <c r="N97">
        <v>7.197125024175785E-2</v>
      </c>
      <c r="O97">
        <v>0.2215707504518617</v>
      </c>
      <c r="P97">
        <v>0.21682301098847315</v>
      </c>
      <c r="Q97" s="21">
        <v>0.1710808445342846</v>
      </c>
      <c r="R97">
        <v>0.21171351973804187</v>
      </c>
      <c r="S97">
        <v>0.3272783197604619</v>
      </c>
      <c r="T97">
        <v>0.16545694246021905</v>
      </c>
      <c r="U97">
        <v>6.3630793007262598E-2</v>
      </c>
      <c r="V97" s="22">
        <v>1.9950278016005126E-2</v>
      </c>
    </row>
    <row r="98" spans="1:22" ht="14.25" thickBot="1">
      <c r="A98">
        <v>567</v>
      </c>
      <c r="B98">
        <v>1991</v>
      </c>
      <c r="C98">
        <v>8.5000000000000006E-3</v>
      </c>
      <c r="D98" s="19" t="s">
        <v>42</v>
      </c>
      <c r="E98">
        <f t="shared" si="3"/>
        <v>0.51262537830962329</v>
      </c>
      <c r="F98">
        <f t="shared" si="4"/>
        <v>0.34452204425379135</v>
      </c>
      <c r="G98">
        <f t="shared" si="5"/>
        <v>0.31099662341462359</v>
      </c>
      <c r="H98" s="20">
        <v>1.3206076846060579</v>
      </c>
      <c r="I98">
        <v>0.38539924810014237</v>
      </c>
      <c r="J98">
        <v>0.32988673735835833</v>
      </c>
      <c r="K98">
        <v>0.23283386307664924</v>
      </c>
      <c r="L98" s="21">
        <v>0.29439935840690906</v>
      </c>
      <c r="M98">
        <v>0.32916290005726478</v>
      </c>
      <c r="N98">
        <v>0.16872975370236562</v>
      </c>
      <c r="O98">
        <v>0.18759352605390947</v>
      </c>
      <c r="P98">
        <v>6.5177032794634784E-2</v>
      </c>
      <c r="Q98" s="21">
        <v>0.13143033838162196</v>
      </c>
      <c r="R98">
        <v>7.9652606785769645E-2</v>
      </c>
      <c r="S98">
        <v>0.13446238373711322</v>
      </c>
      <c r="T98">
        <v>0.20661427272856464</v>
      </c>
      <c r="U98">
        <v>0.41291823986693449</v>
      </c>
      <c r="V98" s="22">
        <v>0.38608140556305853</v>
      </c>
    </row>
    <row r="99" spans="1:22" ht="27.75" thickBot="1">
      <c r="A99">
        <v>569</v>
      </c>
      <c r="B99">
        <v>2001</v>
      </c>
      <c r="C99">
        <v>7.7999999999999996E-3</v>
      </c>
      <c r="D99" s="19" t="s">
        <v>51</v>
      </c>
      <c r="E99">
        <f t="shared" si="3"/>
        <v>0.95961953239016928</v>
      </c>
      <c r="F99">
        <f t="shared" si="4"/>
        <v>0.69887811457499316</v>
      </c>
      <c r="G99">
        <f t="shared" si="5"/>
        <v>0.58543362661574649</v>
      </c>
      <c r="H99" s="20">
        <v>2.2123994224644994</v>
      </c>
      <c r="I99">
        <v>0.56757894289876432</v>
      </c>
      <c r="J99">
        <v>0.49642863637175594</v>
      </c>
      <c r="K99">
        <v>0.69591474851193857</v>
      </c>
      <c r="L99" s="21">
        <v>0.82577591170388787</v>
      </c>
      <c r="M99">
        <v>0.69603732505314497</v>
      </c>
      <c r="N99">
        <v>0.23422251548388429</v>
      </c>
      <c r="O99">
        <v>0.48234533591680334</v>
      </c>
      <c r="P99">
        <v>0.13219227441516893</v>
      </c>
      <c r="Q99" s="21">
        <v>0.64588603293008451</v>
      </c>
      <c r="R99">
        <v>0.40637698730797284</v>
      </c>
      <c r="S99">
        <v>0.38869471183380766</v>
      </c>
      <c r="T99">
        <v>0.38372547700519716</v>
      </c>
      <c r="U99">
        <v>0.35685580320989407</v>
      </c>
      <c r="V99" s="22">
        <v>0.25707027412939359</v>
      </c>
    </row>
    <row r="100" spans="1:22" ht="27.75" thickBot="1">
      <c r="A100">
        <v>571</v>
      </c>
      <c r="B100">
        <v>2011</v>
      </c>
      <c r="C100">
        <v>1.17E-2</v>
      </c>
      <c r="D100" s="19" t="s">
        <v>51</v>
      </c>
      <c r="E100">
        <f t="shared" si="3"/>
        <v>0.20964707340427308</v>
      </c>
      <c r="F100">
        <f t="shared" si="4"/>
        <v>0.25728571871181227</v>
      </c>
      <c r="G100">
        <f t="shared" si="5"/>
        <v>0.2844672609049882</v>
      </c>
      <c r="H100" s="20">
        <v>0.46080228770454784</v>
      </c>
      <c r="I100">
        <v>0.22418009506908435</v>
      </c>
      <c r="J100">
        <v>6.8598744317702617E-2</v>
      </c>
      <c r="K100">
        <v>0.26485007918592618</v>
      </c>
      <c r="L100" s="21">
        <v>2.9804160744104146E-2</v>
      </c>
      <c r="M100">
        <v>0.22851606725125648</v>
      </c>
      <c r="N100">
        <v>0.27898175168458572</v>
      </c>
      <c r="O100">
        <v>0.48984416917223167</v>
      </c>
      <c r="P100">
        <v>0.33094897196432405</v>
      </c>
      <c r="Q100" s="21">
        <v>0.19633086002435995</v>
      </c>
      <c r="R100">
        <v>0.31583280775369882</v>
      </c>
      <c r="S100">
        <v>0.23214141737338886</v>
      </c>
      <c r="T100">
        <v>0.37927633640609931</v>
      </c>
      <c r="U100">
        <v>0.59237891422107547</v>
      </c>
      <c r="V100" s="22">
        <v>0.17452225070243715</v>
      </c>
    </row>
    <row r="101" spans="1:22" ht="27.75" thickBot="1">
      <c r="A101">
        <v>574</v>
      </c>
      <c r="B101">
        <v>1987</v>
      </c>
      <c r="C101">
        <v>7.6E-3</v>
      </c>
      <c r="D101" s="19" t="s">
        <v>50</v>
      </c>
      <c r="E101">
        <f t="shared" si="3"/>
        <v>0.24344683660381997</v>
      </c>
      <c r="F101">
        <f t="shared" si="4"/>
        <v>0.20708712938755397</v>
      </c>
      <c r="G101">
        <f t="shared" si="5"/>
        <v>0.18958216806901712</v>
      </c>
      <c r="H101" s="20">
        <v>0.35768365291850435</v>
      </c>
      <c r="I101">
        <v>0.19993418786381578</v>
      </c>
      <c r="J101">
        <v>0.213772260429856</v>
      </c>
      <c r="K101">
        <v>0.2620544811305881</v>
      </c>
      <c r="L101" s="21">
        <v>0.18378960067633557</v>
      </c>
      <c r="M101">
        <v>0.18742513108691164</v>
      </c>
      <c r="N101">
        <v>0.23313864689950622</v>
      </c>
      <c r="O101">
        <v>0.13663876736269986</v>
      </c>
      <c r="P101">
        <v>0.13706810072001172</v>
      </c>
      <c r="Q101" s="21">
        <v>0.15936646478731048</v>
      </c>
      <c r="R101">
        <v>0.21487477896259555</v>
      </c>
      <c r="S101">
        <v>0.18884065676059397</v>
      </c>
      <c r="T101">
        <v>0.14395725460283135</v>
      </c>
      <c r="U101">
        <v>0.11844988379698485</v>
      </c>
      <c r="V101" s="22">
        <v>0.10673865303671165</v>
      </c>
    </row>
    <row r="102" spans="1:22" ht="14.25" thickBot="1">
      <c r="A102">
        <v>576</v>
      </c>
      <c r="B102">
        <v>2004</v>
      </c>
      <c r="C102">
        <v>1.04E-2</v>
      </c>
      <c r="D102" s="19" t="s">
        <v>54</v>
      </c>
      <c r="E102">
        <f t="shared" si="3"/>
        <v>0.11348230469457669</v>
      </c>
      <c r="F102">
        <f t="shared" si="4"/>
        <v>0.14914732916046289</v>
      </c>
      <c r="G102">
        <f t="shared" si="5"/>
        <v>0.13370100525723583</v>
      </c>
      <c r="H102" s="20">
        <v>0.26506177406806553</v>
      </c>
      <c r="I102">
        <v>7.139258721479505E-2</v>
      </c>
      <c r="J102">
        <v>1.6695118441620825E-3</v>
      </c>
      <c r="K102">
        <v>4.0064856306887185E-2</v>
      </c>
      <c r="L102" s="21">
        <v>0.18922279403897366</v>
      </c>
      <c r="M102">
        <v>0.15783280131775737</v>
      </c>
      <c r="N102">
        <v>0.20898046256293945</v>
      </c>
      <c r="O102">
        <v>0.31070646868708002</v>
      </c>
      <c r="P102">
        <v>0.15571387213883398</v>
      </c>
      <c r="Q102" s="21">
        <v>9.0828163425134667E-2</v>
      </c>
      <c r="R102">
        <v>6.7050999292093447E-2</v>
      </c>
      <c r="S102">
        <v>0.14938284612740607</v>
      </c>
      <c r="T102">
        <v>3.0881724401915837E-2</v>
      </c>
      <c r="U102">
        <v>0.18041228731152745</v>
      </c>
      <c r="V102" s="22">
        <v>8.6313930120965832E-2</v>
      </c>
    </row>
    <row r="103" spans="1:22" ht="14.25" thickBot="1">
      <c r="A103">
        <v>577</v>
      </c>
      <c r="B103">
        <v>1995</v>
      </c>
      <c r="C103">
        <v>1.3599999999999999E-2</v>
      </c>
      <c r="D103" s="19" t="s">
        <v>54</v>
      </c>
      <c r="E103">
        <f t="shared" si="3"/>
        <v>7.1004618202157449E-2</v>
      </c>
      <c r="F103">
        <f t="shared" si="4"/>
        <v>5.7471226757696628E-2</v>
      </c>
      <c r="G103">
        <f t="shared" si="5"/>
        <v>5.3072711101788531E-2</v>
      </c>
      <c r="H103" s="20">
        <v>0.13994590928527836</v>
      </c>
      <c r="I103">
        <v>0.11197607567150188</v>
      </c>
      <c r="J103">
        <v>3.7539227947297422E-2</v>
      </c>
      <c r="K103">
        <v>3.5492052188341935E-2</v>
      </c>
      <c r="L103" s="21">
        <v>3.0069825918367595E-2</v>
      </c>
      <c r="M103">
        <v>4.5027738925503873E-2</v>
      </c>
      <c r="N103">
        <v>6.795096948564971E-3</v>
      </c>
      <c r="O103">
        <v>6.6695910363500754E-2</v>
      </c>
      <c r="P103">
        <v>2.3253759496946393E-2</v>
      </c>
      <c r="Q103" s="21">
        <v>7.7916670831662996E-2</v>
      </c>
      <c r="R103">
        <v>2.3494668474328143E-2</v>
      </c>
      <c r="S103">
        <v>7.8306264394595718E-2</v>
      </c>
      <c r="T103">
        <v>5.5528092369031251E-2</v>
      </c>
      <c r="U103">
        <v>9.1853776973081901E-3</v>
      </c>
      <c r="V103" s="22">
        <v>5.4863996014598376E-2</v>
      </c>
    </row>
    <row r="104" spans="1:22" ht="14.25" thickBot="1">
      <c r="A104">
        <v>579</v>
      </c>
      <c r="B104">
        <v>1997</v>
      </c>
      <c r="C104">
        <v>4.7999999999999996E-3</v>
      </c>
      <c r="D104" s="19" t="s">
        <v>42</v>
      </c>
      <c r="E104">
        <f t="shared" si="3"/>
        <v>0.15489986366181535</v>
      </c>
      <c r="F104">
        <f t="shared" si="4"/>
        <v>0.1756611265155911</v>
      </c>
      <c r="G104">
        <f t="shared" si="5"/>
        <v>0.16069441037514354</v>
      </c>
      <c r="H104" s="20">
        <v>9.6302200351861447E-2</v>
      </c>
      <c r="I104">
        <v>0.17710877167710579</v>
      </c>
      <c r="J104">
        <v>0.23695279198010555</v>
      </c>
      <c r="K104">
        <v>0.15728695413117388</v>
      </c>
      <c r="L104" s="21">
        <v>0.1068486001688301</v>
      </c>
      <c r="M104">
        <v>0.12312173107267245</v>
      </c>
      <c r="N104">
        <v>0.21226015155376898</v>
      </c>
      <c r="O104">
        <v>0.14978393774320412</v>
      </c>
      <c r="P104">
        <v>0.28363807740710134</v>
      </c>
      <c r="Q104" s="21">
        <v>0.21330804907008721</v>
      </c>
      <c r="R104">
        <v>0.135875176487357</v>
      </c>
      <c r="S104">
        <v>0.23934538373703443</v>
      </c>
      <c r="T104">
        <v>4.6400472115887693E-2</v>
      </c>
      <c r="U104">
        <v>8.1186808593211632E-2</v>
      </c>
      <c r="V104" s="22">
        <v>0.15099704953775156</v>
      </c>
    </row>
    <row r="105" spans="1:22" ht="14.25" thickBot="1">
      <c r="A105">
        <v>583</v>
      </c>
      <c r="B105">
        <v>1986</v>
      </c>
      <c r="C105">
        <v>2.2000000000000001E-3</v>
      </c>
      <c r="D105" s="19" t="s">
        <v>55</v>
      </c>
      <c r="E105">
        <f t="shared" si="3"/>
        <v>0.53237601792750211</v>
      </c>
      <c r="F105">
        <f t="shared" si="4"/>
        <v>0.3857744129002138</v>
      </c>
      <c r="G105">
        <f t="shared" si="5"/>
        <v>0.36010644990002277</v>
      </c>
      <c r="H105" s="20">
        <v>0.68895584627710804</v>
      </c>
      <c r="I105">
        <v>0.7579176032991094</v>
      </c>
      <c r="J105">
        <v>0.63359807653143752</v>
      </c>
      <c r="K105">
        <v>0.27393832476827318</v>
      </c>
      <c r="L105" s="21">
        <v>0.3074702387615823</v>
      </c>
      <c r="M105">
        <v>0.21764157795459246</v>
      </c>
      <c r="N105">
        <v>0.11930291956990838</v>
      </c>
      <c r="O105">
        <v>0.34393782309865112</v>
      </c>
      <c r="P105">
        <v>0.21532244019957764</v>
      </c>
      <c r="Q105" s="21">
        <v>0.29965927854189772</v>
      </c>
      <c r="R105">
        <v>0.24901611654677477</v>
      </c>
      <c r="S105">
        <v>0.37656520797448162</v>
      </c>
      <c r="T105">
        <v>0.4192250901942286</v>
      </c>
      <c r="U105">
        <v>0.27841537200805638</v>
      </c>
      <c r="V105" s="22">
        <v>0.22063083277466172</v>
      </c>
    </row>
    <row r="106" spans="1:22" ht="14.25" thickBot="1">
      <c r="A106">
        <v>588</v>
      </c>
      <c r="B106">
        <v>2011</v>
      </c>
      <c r="C106">
        <v>3.8999999999999998E-3</v>
      </c>
      <c r="D106" s="19" t="s">
        <v>55</v>
      </c>
      <c r="E106">
        <f t="shared" si="3"/>
        <v>0.2153018734304824</v>
      </c>
      <c r="F106">
        <f t="shared" si="4"/>
        <v>0.18239496355478754</v>
      </c>
      <c r="H106" s="20">
        <v>0.13964786044261543</v>
      </c>
      <c r="I106">
        <v>0.17114650033941478</v>
      </c>
      <c r="J106">
        <v>0.23811633526600251</v>
      </c>
      <c r="K106">
        <v>0.38782824229397433</v>
      </c>
      <c r="L106" s="21">
        <v>0.13977042881040483</v>
      </c>
      <c r="M106">
        <v>6.5137217932386207E-2</v>
      </c>
      <c r="N106">
        <v>7.737249598787993E-2</v>
      </c>
      <c r="O106">
        <v>0.25785366017731254</v>
      </c>
      <c r="P106">
        <v>0.1088211168399415</v>
      </c>
      <c r="Q106" s="21">
        <v>0.23825577745794344</v>
      </c>
      <c r="R106">
        <v>0.1414799732731413</v>
      </c>
      <c r="V106" s="22"/>
    </row>
    <row r="107" spans="1:22" ht="14.25" thickBot="1">
      <c r="A107">
        <v>589</v>
      </c>
      <c r="B107">
        <v>1997</v>
      </c>
      <c r="C107">
        <v>3.3999999999999998E-3</v>
      </c>
      <c r="D107" s="19" t="s">
        <v>55</v>
      </c>
      <c r="E107">
        <f t="shared" si="3"/>
        <v>0.32134515546805109</v>
      </c>
      <c r="F107">
        <f t="shared" si="4"/>
        <v>0.21723320338333302</v>
      </c>
      <c r="G107">
        <f t="shared" si="5"/>
        <v>0.18284423670108216</v>
      </c>
      <c r="H107" s="20">
        <v>0.51714989098043862</v>
      </c>
      <c r="I107">
        <v>0.5092419025438214</v>
      </c>
      <c r="J107">
        <v>0.23907638268064363</v>
      </c>
      <c r="K107">
        <v>0.16442307566256986</v>
      </c>
      <c r="L107" s="21">
        <v>0.17683452547278189</v>
      </c>
      <c r="M107">
        <v>0.12527751301154502</v>
      </c>
      <c r="N107">
        <v>0.27440125522686276</v>
      </c>
      <c r="O107">
        <v>8.2355567172252966E-2</v>
      </c>
      <c r="P107">
        <v>3.9295011948172157E-2</v>
      </c>
      <c r="Q107" s="21">
        <v>4.4276909134241614E-2</v>
      </c>
      <c r="R107">
        <v>0.11913534924256891</v>
      </c>
      <c r="S107">
        <v>7.5252436105872636E-2</v>
      </c>
      <c r="T107">
        <v>6.0032897786992952E-2</v>
      </c>
      <c r="U107">
        <v>0.16286312946056603</v>
      </c>
      <c r="V107" s="22">
        <v>0.15304770408690174</v>
      </c>
    </row>
    <row r="108" spans="1:22" ht="14.25" thickBot="1">
      <c r="A108">
        <v>606</v>
      </c>
      <c r="B108">
        <v>1994</v>
      </c>
      <c r="C108">
        <v>8.0999999999999996E-3</v>
      </c>
      <c r="D108" s="19" t="s">
        <v>40</v>
      </c>
      <c r="E108">
        <f t="shared" si="3"/>
        <v>0.37589755541454017</v>
      </c>
      <c r="F108">
        <f t="shared" si="4"/>
        <v>0.28179725585676046</v>
      </c>
      <c r="G108">
        <f t="shared" si="5"/>
        <v>0.2485206944230173</v>
      </c>
      <c r="H108" s="20">
        <v>0.72574756564979892</v>
      </c>
      <c r="I108">
        <v>0.21772693505536178</v>
      </c>
      <c r="J108">
        <v>0.10048802180031015</v>
      </c>
      <c r="K108">
        <v>0.3479102237545238</v>
      </c>
      <c r="L108" s="21">
        <v>0.4876150308127063</v>
      </c>
      <c r="M108">
        <v>0.3219675919228524</v>
      </c>
      <c r="N108">
        <v>0.15926851443542844</v>
      </c>
      <c r="O108">
        <v>0.24252058418623038</v>
      </c>
      <c r="P108">
        <v>0.14969979539373504</v>
      </c>
      <c r="Q108" s="21">
        <v>6.5028295556657803E-2</v>
      </c>
      <c r="R108">
        <v>0.12729650006246751</v>
      </c>
      <c r="S108">
        <v>0.30120719518450012</v>
      </c>
      <c r="T108">
        <v>0.24466429093168302</v>
      </c>
      <c r="U108">
        <v>5.1772456708475995E-2</v>
      </c>
      <c r="V108" s="22">
        <v>0.18489741489052824</v>
      </c>
    </row>
    <row r="109" spans="1:22" ht="14.25" thickBot="1">
      <c r="A109">
        <v>607</v>
      </c>
      <c r="B109" s="24">
        <v>1984</v>
      </c>
      <c r="C109">
        <v>1.12E-2</v>
      </c>
      <c r="D109" s="19" t="s">
        <v>40</v>
      </c>
      <c r="E109">
        <f t="shared" si="3"/>
        <v>0.33089114179178003</v>
      </c>
      <c r="F109">
        <f t="shared" si="4"/>
        <v>0.20051327702705851</v>
      </c>
      <c r="G109">
        <f t="shared" si="5"/>
        <v>0.16538822596816202</v>
      </c>
      <c r="H109" s="20">
        <v>0.58175764718995404</v>
      </c>
      <c r="I109">
        <v>0.25752290224000246</v>
      </c>
      <c r="J109">
        <v>4.3741040442550012E-2</v>
      </c>
      <c r="K109">
        <v>0.16426320258894669</v>
      </c>
      <c r="L109" s="21">
        <v>0.60717091649744703</v>
      </c>
      <c r="M109">
        <v>5.5117901165169396E-2</v>
      </c>
      <c r="N109">
        <v>2.5970688435784539E-2</v>
      </c>
      <c r="O109">
        <v>0.19531334046185175</v>
      </c>
      <c r="P109">
        <v>1.7754371013287772E-2</v>
      </c>
      <c r="Q109" s="21">
        <v>5.6520760235591751E-2</v>
      </c>
      <c r="R109">
        <v>7.238006941416536E-2</v>
      </c>
      <c r="S109">
        <v>0.15043041822749903</v>
      </c>
      <c r="T109">
        <v>0.1225742508445022</v>
      </c>
      <c r="U109">
        <v>1.9594024481992704E-2</v>
      </c>
      <c r="V109" s="22">
        <v>0.11071185628368616</v>
      </c>
    </row>
    <row r="110" spans="1:22" ht="14.25" thickBot="1">
      <c r="A110">
        <v>608</v>
      </c>
      <c r="B110">
        <v>1990</v>
      </c>
      <c r="C110">
        <v>1.0200000000000001E-2</v>
      </c>
      <c r="D110" s="19" t="s">
        <v>40</v>
      </c>
      <c r="E110">
        <f t="shared" si="3"/>
        <v>0.33431199445906162</v>
      </c>
      <c r="F110">
        <f t="shared" si="4"/>
        <v>0.23244524987059317</v>
      </c>
      <c r="G110">
        <f t="shared" si="5"/>
        <v>0.19519772464311066</v>
      </c>
      <c r="H110" s="20">
        <v>0.62424929561447007</v>
      </c>
      <c r="I110">
        <v>0.41244588624184148</v>
      </c>
      <c r="J110">
        <v>0.21419504054935495</v>
      </c>
      <c r="K110">
        <v>0.24833853132637301</v>
      </c>
      <c r="L110" s="21">
        <v>0.17233121856326872</v>
      </c>
      <c r="M110">
        <v>4.9371425922708496E-2</v>
      </c>
      <c r="N110">
        <v>0.19920424278019072</v>
      </c>
      <c r="O110">
        <v>7.9357935831687154E-2</v>
      </c>
      <c r="P110">
        <v>0.17230090904315887</v>
      </c>
      <c r="Q110" s="21">
        <v>0.15265801283287861</v>
      </c>
      <c r="R110">
        <v>0.1561838206787042</v>
      </c>
      <c r="S110">
        <v>9.5312951294470996E-2</v>
      </c>
      <c r="T110">
        <v>0.14831955712452055</v>
      </c>
      <c r="U110">
        <v>3.8786802112287376E-2</v>
      </c>
      <c r="V110" s="22">
        <v>0.16491023973074545</v>
      </c>
    </row>
    <row r="111" spans="1:22" ht="14.25" thickBot="1">
      <c r="A111">
        <v>609</v>
      </c>
      <c r="B111">
        <v>1986</v>
      </c>
      <c r="C111">
        <v>5.8999999999999999E-3</v>
      </c>
      <c r="D111" s="19" t="s">
        <v>40</v>
      </c>
      <c r="E111">
        <f t="shared" si="3"/>
        <v>0.27737811459887801</v>
      </c>
      <c r="F111">
        <f t="shared" si="4"/>
        <v>0.26308941618794923</v>
      </c>
      <c r="G111">
        <f t="shared" si="5"/>
        <v>0.26955305949612979</v>
      </c>
      <c r="H111" s="20">
        <v>0.39138582921016701</v>
      </c>
      <c r="I111">
        <v>0.52099036523411346</v>
      </c>
      <c r="J111">
        <v>0.31816891663329988</v>
      </c>
      <c r="K111">
        <v>6.2019185123129247E-2</v>
      </c>
      <c r="L111" s="21">
        <v>9.4326276793680358E-2</v>
      </c>
      <c r="M111">
        <v>0.13627861533884159</v>
      </c>
      <c r="N111">
        <v>0.2233913296295538</v>
      </c>
      <c r="O111">
        <v>6.4794810395169197E-2</v>
      </c>
      <c r="P111">
        <v>0.469369279233674</v>
      </c>
      <c r="Q111" s="21">
        <v>0.35016955428786323</v>
      </c>
      <c r="R111">
        <v>0.20919857612575346</v>
      </c>
      <c r="S111">
        <v>0.21886072266110584</v>
      </c>
      <c r="T111">
        <v>0.27024349572451434</v>
      </c>
      <c r="U111">
        <v>0.35838765905767334</v>
      </c>
      <c r="V111" s="22">
        <v>0.35571127699340771</v>
      </c>
    </row>
    <row r="112" spans="1:22" ht="14.25" thickBot="1">
      <c r="A112">
        <v>610</v>
      </c>
      <c r="B112">
        <v>1995</v>
      </c>
      <c r="C112">
        <v>8.6999999999999994E-3</v>
      </c>
      <c r="D112" s="19" t="s">
        <v>40</v>
      </c>
      <c r="E112">
        <f t="shared" si="3"/>
        <v>0.46093690335032128</v>
      </c>
      <c r="F112">
        <f t="shared" si="4"/>
        <v>0.31512471753724747</v>
      </c>
      <c r="G112">
        <f t="shared" si="5"/>
        <v>0.26192019648360815</v>
      </c>
      <c r="H112" s="20">
        <v>0.74236095312296557</v>
      </c>
      <c r="I112">
        <v>0.41360389272236303</v>
      </c>
      <c r="J112">
        <v>0.29869645911716169</v>
      </c>
      <c r="K112">
        <v>0.46378659111764298</v>
      </c>
      <c r="L112" s="21">
        <v>0.3862366206714733</v>
      </c>
      <c r="M112">
        <v>0.22262780910767166</v>
      </c>
      <c r="N112">
        <v>0.1641448821802014</v>
      </c>
      <c r="O112">
        <v>0.13114981650831256</v>
      </c>
      <c r="P112">
        <v>0.14026716207600282</v>
      </c>
      <c r="Q112" s="21">
        <v>0.18837298874867894</v>
      </c>
      <c r="R112">
        <v>0.1055034400753304</v>
      </c>
      <c r="S112">
        <v>0.30999355470120038</v>
      </c>
      <c r="T112">
        <v>0.14597104461748261</v>
      </c>
      <c r="U112">
        <v>0.12122758782669646</v>
      </c>
      <c r="V112" s="22">
        <v>9.4860144660937895E-2</v>
      </c>
    </row>
    <row r="113" spans="1:22" ht="14.25" thickBot="1">
      <c r="A113">
        <v>611</v>
      </c>
      <c r="B113">
        <v>1999</v>
      </c>
      <c r="C113">
        <v>1.32E-2</v>
      </c>
      <c r="D113" s="19" t="s">
        <v>40</v>
      </c>
      <c r="E113">
        <f t="shared" si="3"/>
        <v>0.27760914249104507</v>
      </c>
      <c r="F113">
        <f t="shared" si="4"/>
        <v>0.22955179108656404</v>
      </c>
      <c r="G113">
        <f t="shared" si="5"/>
        <v>0.19136618269023675</v>
      </c>
      <c r="H113" s="20">
        <v>0.73168541126339748</v>
      </c>
      <c r="I113">
        <v>0.14672559729611229</v>
      </c>
      <c r="J113">
        <v>0.22160046419093032</v>
      </c>
      <c r="K113">
        <v>0.20665674965071776</v>
      </c>
      <c r="L113" s="21">
        <v>8.1377490054067442E-2</v>
      </c>
      <c r="M113">
        <v>0.1182983091233603</v>
      </c>
      <c r="N113">
        <v>6.2397311390082998E-2</v>
      </c>
      <c r="O113">
        <v>0.31492072729309206</v>
      </c>
      <c r="P113">
        <v>0.2304440043075961</v>
      </c>
      <c r="Q113" s="21">
        <v>0.18141184629628404</v>
      </c>
      <c r="R113">
        <v>5.5239967726125751E-2</v>
      </c>
      <c r="S113">
        <v>0.1337974535745404</v>
      </c>
      <c r="T113">
        <v>0.21234298186072401</v>
      </c>
      <c r="U113">
        <v>0.1330890764222443</v>
      </c>
      <c r="V113" s="22">
        <v>4.050534990427658E-2</v>
      </c>
    </row>
    <row r="114" spans="1:22" ht="14.25" thickBot="1">
      <c r="A114">
        <v>612</v>
      </c>
      <c r="B114">
        <v>2013</v>
      </c>
      <c r="C114">
        <v>1.14E-2</v>
      </c>
      <c r="D114" s="19" t="s">
        <v>40</v>
      </c>
      <c r="E114">
        <f t="shared" si="3"/>
        <v>0.31175703150825057</v>
      </c>
      <c r="F114">
        <f t="shared" si="4"/>
        <v>0.32775424521536556</v>
      </c>
      <c r="H114" s="20">
        <v>0.2098374014629413</v>
      </c>
      <c r="I114">
        <v>0.44241975831147001</v>
      </c>
      <c r="J114">
        <v>0.30821418646989401</v>
      </c>
      <c r="K114">
        <v>0.57486375228144293</v>
      </c>
      <c r="L114" s="21">
        <v>2.3450059015504471E-2</v>
      </c>
      <c r="M114">
        <v>0.60120687367350301</v>
      </c>
      <c r="N114">
        <v>0.13279867398323494</v>
      </c>
      <c r="O114">
        <v>0.27126045318743475</v>
      </c>
      <c r="P114">
        <v>0.38573704855286406</v>
      </c>
      <c r="Q114" s="21"/>
      <c r="V114" s="22"/>
    </row>
    <row r="115" spans="1:22" ht="14.25" thickBot="1">
      <c r="A115">
        <v>613</v>
      </c>
      <c r="B115">
        <v>1992</v>
      </c>
      <c r="C115">
        <v>1.5100000000000001E-2</v>
      </c>
      <c r="D115" s="19" t="s">
        <v>40</v>
      </c>
      <c r="E115">
        <f t="shared" si="3"/>
        <v>0.44741725468079546</v>
      </c>
      <c r="F115">
        <f t="shared" si="4"/>
        <v>0.30564484499227984</v>
      </c>
      <c r="G115">
        <f t="shared" si="5"/>
        <v>0.27046845350396992</v>
      </c>
      <c r="H115" s="20">
        <v>0.94733251856463452</v>
      </c>
      <c r="I115">
        <v>0.32289173479679717</v>
      </c>
      <c r="J115">
        <v>0.45439606560863183</v>
      </c>
      <c r="K115">
        <v>0.39078283466477193</v>
      </c>
      <c r="L115" s="21">
        <v>0.1216831197691422</v>
      </c>
      <c r="M115">
        <v>0.12426122437627084</v>
      </c>
      <c r="N115">
        <v>0.19614863126606349</v>
      </c>
      <c r="O115">
        <v>7.7547392889492653E-2</v>
      </c>
      <c r="P115">
        <v>0.23524893864366686</v>
      </c>
      <c r="Q115" s="21">
        <v>0.18615598934332747</v>
      </c>
      <c r="R115">
        <v>0.1836506812095898</v>
      </c>
      <c r="S115">
        <v>0.17305620836513802</v>
      </c>
      <c r="T115">
        <v>0.3607027154802121</v>
      </c>
      <c r="U115">
        <v>0.11358113026354555</v>
      </c>
      <c r="V115" s="22">
        <v>0.16958761731826522</v>
      </c>
    </row>
    <row r="116" spans="1:22" ht="14.25" thickBot="1">
      <c r="A116">
        <v>614</v>
      </c>
      <c r="B116">
        <v>1994</v>
      </c>
      <c r="C116">
        <v>1.55E-2</v>
      </c>
      <c r="D116" s="19" t="s">
        <v>40</v>
      </c>
      <c r="E116">
        <f t="shared" si="3"/>
        <v>0.25913842171260371</v>
      </c>
      <c r="F116">
        <f t="shared" si="4"/>
        <v>0.23451986791958887</v>
      </c>
      <c r="G116">
        <f t="shared" si="5"/>
        <v>0.20749510910039604</v>
      </c>
      <c r="H116" s="20">
        <v>0.20827465037741075</v>
      </c>
      <c r="I116">
        <v>0.75924559606201891</v>
      </c>
      <c r="J116">
        <v>1.9736421436687513E-2</v>
      </c>
      <c r="K116">
        <v>8.0790238898774652E-2</v>
      </c>
      <c r="L116" s="21">
        <v>0.22764520178812644</v>
      </c>
      <c r="M116">
        <v>0.40702202436172896</v>
      </c>
      <c r="N116">
        <v>0.14018249170354866</v>
      </c>
      <c r="O116">
        <v>0.21857316989984141</v>
      </c>
      <c r="P116">
        <v>0.17478089784517978</v>
      </c>
      <c r="Q116" s="21">
        <v>0.10894798682257165</v>
      </c>
      <c r="R116">
        <v>0.16265313654683339</v>
      </c>
      <c r="S116">
        <v>0.2634964525710668</v>
      </c>
      <c r="T116">
        <v>3.4618761483204745E-2</v>
      </c>
      <c r="U116">
        <v>0.2576977988977876</v>
      </c>
      <c r="V116" s="22">
        <v>4.8761807811159158E-2</v>
      </c>
    </row>
    <row r="117" spans="1:22" ht="14.25" thickBot="1">
      <c r="A117">
        <v>615</v>
      </c>
      <c r="B117">
        <v>2007</v>
      </c>
      <c r="C117">
        <v>1.6500000000000001E-2</v>
      </c>
      <c r="D117" s="19" t="s">
        <v>40</v>
      </c>
      <c r="E117">
        <f t="shared" si="3"/>
        <v>0.32189862551182596</v>
      </c>
      <c r="F117">
        <f t="shared" si="4"/>
        <v>0.21591788840830187</v>
      </c>
      <c r="G117">
        <f t="shared" si="5"/>
        <v>0.18485194905412339</v>
      </c>
      <c r="H117" s="20">
        <v>0.47814561474822981</v>
      </c>
      <c r="I117">
        <v>0.31388410784512583</v>
      </c>
      <c r="J117">
        <v>0.35291985717799951</v>
      </c>
      <c r="K117">
        <v>0.10522855192027221</v>
      </c>
      <c r="L117" s="21">
        <v>0.35931499586750243</v>
      </c>
      <c r="M117">
        <v>0.24106146530739112</v>
      </c>
      <c r="N117">
        <v>1.9355611945002276E-2</v>
      </c>
      <c r="O117">
        <v>0.14534930309269181</v>
      </c>
      <c r="P117">
        <v>9.3615043155793651E-2</v>
      </c>
      <c r="Q117" s="21">
        <v>5.0304333023009705E-2</v>
      </c>
      <c r="R117">
        <v>0.13976018835698681</v>
      </c>
      <c r="S117">
        <v>0.13710851340084404</v>
      </c>
      <c r="T117">
        <v>0.10311162951240821</v>
      </c>
      <c r="U117">
        <v>0.19624975545442133</v>
      </c>
      <c r="V117" s="22">
        <v>3.7370265004172204E-2</v>
      </c>
    </row>
    <row r="118" spans="1:22" ht="14.25" thickBot="1">
      <c r="A118">
        <v>616</v>
      </c>
      <c r="B118">
        <v>2005</v>
      </c>
      <c r="C118">
        <v>5.7999999999999996E-3</v>
      </c>
      <c r="D118" s="19" t="s">
        <v>40</v>
      </c>
      <c r="E118">
        <f t="shared" si="3"/>
        <v>0.32798051138781226</v>
      </c>
      <c r="F118">
        <f t="shared" si="4"/>
        <v>0.23351098931741748</v>
      </c>
      <c r="G118">
        <f t="shared" si="5"/>
        <v>0.19452671171513122</v>
      </c>
      <c r="H118" s="20">
        <v>0.36444932675921438</v>
      </c>
      <c r="I118">
        <v>0.29143210264848285</v>
      </c>
      <c r="J118">
        <v>0.35603892897286504</v>
      </c>
      <c r="K118">
        <v>0.42269022757913349</v>
      </c>
      <c r="L118" s="21">
        <v>0.20529197097936538</v>
      </c>
      <c r="M118">
        <v>0.17662626734538547</v>
      </c>
      <c r="N118">
        <v>0.20970889736284615</v>
      </c>
      <c r="O118">
        <v>0.23642843555897508</v>
      </c>
      <c r="P118">
        <v>3.0352400623924258E-2</v>
      </c>
      <c r="Q118" s="21">
        <v>4.2091335343981885E-2</v>
      </c>
      <c r="R118">
        <v>0.13288120466560302</v>
      </c>
      <c r="S118">
        <v>0.15849203285829591</v>
      </c>
      <c r="T118">
        <v>0.10628695135952204</v>
      </c>
      <c r="U118">
        <v>0.1179580147266252</v>
      </c>
      <c r="V118" s="22">
        <v>6.7172578942747599E-2</v>
      </c>
    </row>
    <row r="119" spans="1:22" ht="14.25" thickBot="1">
      <c r="A119">
        <v>619</v>
      </c>
      <c r="B119">
        <v>1988</v>
      </c>
      <c r="C119">
        <v>1.72E-2</v>
      </c>
      <c r="D119" s="19" t="s">
        <v>40</v>
      </c>
      <c r="E119">
        <f t="shared" si="3"/>
        <v>0.21635179275435781</v>
      </c>
      <c r="F119">
        <f t="shared" si="4"/>
        <v>0.23650679205016317</v>
      </c>
      <c r="G119">
        <f t="shared" si="5"/>
        <v>0.20763239960312549</v>
      </c>
      <c r="H119" s="20">
        <v>0.11356963533623425</v>
      </c>
      <c r="I119">
        <v>0.37273899624305074</v>
      </c>
      <c r="J119">
        <v>0.3259929770565877</v>
      </c>
      <c r="K119">
        <v>0.24191633337443136</v>
      </c>
      <c r="L119" s="21">
        <v>2.7541021761484794E-2</v>
      </c>
      <c r="M119">
        <v>0.30210115377376101</v>
      </c>
      <c r="N119">
        <v>0.34259271246444883</v>
      </c>
      <c r="O119">
        <v>0.1081370868256456</v>
      </c>
      <c r="P119">
        <v>0.28033614473604845</v>
      </c>
      <c r="Q119" s="21">
        <v>0.25014185892993857</v>
      </c>
      <c r="R119">
        <v>0.22056190389099151</v>
      </c>
      <c r="S119">
        <v>7.9934078501111103E-2</v>
      </c>
      <c r="T119">
        <v>0.11948852025867915</v>
      </c>
      <c r="U119">
        <v>0.18365610424692558</v>
      </c>
      <c r="V119" s="22">
        <v>0.1457774666475436</v>
      </c>
    </row>
    <row r="120" spans="1:22" ht="14.25" thickBot="1">
      <c r="A120">
        <v>621</v>
      </c>
      <c r="B120">
        <v>1992</v>
      </c>
      <c r="C120">
        <v>1.9E-2</v>
      </c>
      <c r="D120" s="19" t="s">
        <v>40</v>
      </c>
      <c r="E120">
        <f t="shared" si="3"/>
        <v>0.21482580704715099</v>
      </c>
      <c r="F120">
        <f t="shared" si="4"/>
        <v>0.16233363912933987</v>
      </c>
      <c r="G120">
        <f t="shared" si="5"/>
        <v>0.14822166954501689</v>
      </c>
      <c r="H120" s="20">
        <v>0.16697645756181612</v>
      </c>
      <c r="I120">
        <v>0.3288361945560585</v>
      </c>
      <c r="J120">
        <v>0.12659745474285281</v>
      </c>
      <c r="K120">
        <v>0.11453320854446546</v>
      </c>
      <c r="L120" s="21">
        <v>0.33718571983056195</v>
      </c>
      <c r="M120">
        <v>0.14128467585251456</v>
      </c>
      <c r="N120">
        <v>9.6087644296122252E-2</v>
      </c>
      <c r="O120">
        <v>2.6714854419627648E-2</v>
      </c>
      <c r="P120">
        <v>0.1502492027110128</v>
      </c>
      <c r="Q120" s="21">
        <v>0.13487097877836654</v>
      </c>
      <c r="R120">
        <v>9.3918436714137701E-2</v>
      </c>
      <c r="S120">
        <v>0.11544378498095555</v>
      </c>
      <c r="T120">
        <v>0.1325524143291919</v>
      </c>
      <c r="U120">
        <v>0.1260998062766728</v>
      </c>
      <c r="V120" s="22">
        <v>0.13197420958089703</v>
      </c>
    </row>
    <row r="121" spans="1:22" ht="14.25" thickBot="1">
      <c r="A121">
        <v>628</v>
      </c>
      <c r="B121">
        <v>1991</v>
      </c>
      <c r="C121">
        <v>9.4000000000000004E-3</v>
      </c>
      <c r="D121" s="19" t="s">
        <v>56</v>
      </c>
      <c r="E121">
        <f t="shared" si="3"/>
        <v>0.20082977477969335</v>
      </c>
      <c r="F121">
        <f t="shared" si="4"/>
        <v>0.17183801287023934</v>
      </c>
      <c r="G121">
        <f t="shared" si="5"/>
        <v>0.14151010009879664</v>
      </c>
      <c r="H121" s="20">
        <v>0.27183125024256305</v>
      </c>
      <c r="I121">
        <v>0.3070217749424502</v>
      </c>
      <c r="J121">
        <v>0.18677483595696384</v>
      </c>
      <c r="K121">
        <v>1.7741643822323429E-2</v>
      </c>
      <c r="L121" s="21">
        <v>0.22077936893416625</v>
      </c>
      <c r="M121">
        <v>0.24771968150030127</v>
      </c>
      <c r="N121">
        <v>4.2248406115553194E-2</v>
      </c>
      <c r="O121">
        <v>4.7225247301548923E-2</v>
      </c>
      <c r="P121">
        <v>0.26107521253260635</v>
      </c>
      <c r="Q121" s="21">
        <v>0.11596270735391701</v>
      </c>
      <c r="R121">
        <v>4.6502774493308571E-2</v>
      </c>
      <c r="S121">
        <v>8.3862665595972899E-2</v>
      </c>
      <c r="T121">
        <v>4.1901706438002694E-2</v>
      </c>
      <c r="U121">
        <v>0.14634320599000891</v>
      </c>
      <c r="V121" s="22">
        <v>8.5661020262262799E-2</v>
      </c>
    </row>
    <row r="122" spans="1:22" ht="14.25" thickBot="1">
      <c r="A122">
        <v>631</v>
      </c>
      <c r="B122">
        <v>2010</v>
      </c>
      <c r="C122">
        <v>8.8999999999999999E-3</v>
      </c>
      <c r="D122" s="19" t="s">
        <v>57</v>
      </c>
      <c r="E122">
        <f t="shared" si="3"/>
        <v>0.25998855109655811</v>
      </c>
      <c r="F122">
        <f t="shared" si="4"/>
        <v>0.22302933083745602</v>
      </c>
      <c r="G122">
        <f t="shared" si="5"/>
        <v>0.21003626009171431</v>
      </c>
      <c r="H122" s="20">
        <v>0.32466378611728197</v>
      </c>
      <c r="I122">
        <v>0.14591632278910771</v>
      </c>
      <c r="J122">
        <v>9.2200636909901698E-2</v>
      </c>
      <c r="K122">
        <v>7.4396243653941152E-2</v>
      </c>
      <c r="L122" s="21">
        <v>0.66276576601255799</v>
      </c>
      <c r="M122">
        <v>0.12063027828312141</v>
      </c>
      <c r="N122">
        <v>0.40166638349147399</v>
      </c>
      <c r="O122">
        <v>0.2465610819521</v>
      </c>
      <c r="P122">
        <v>6.3108962862789206E-2</v>
      </c>
      <c r="Q122" s="21">
        <v>9.8383846302285249E-2</v>
      </c>
      <c r="R122">
        <v>0.16371153155898427</v>
      </c>
      <c r="S122">
        <v>0.12643028116702756</v>
      </c>
      <c r="V122" s="22"/>
    </row>
    <row r="123" spans="1:22" ht="14.25" thickBot="1">
      <c r="A123">
        <v>633</v>
      </c>
      <c r="B123">
        <v>1999</v>
      </c>
      <c r="C123">
        <v>1.5699999999999999E-2</v>
      </c>
      <c r="D123" s="19" t="s">
        <v>57</v>
      </c>
      <c r="E123">
        <f t="shared" si="3"/>
        <v>0.25137897358372513</v>
      </c>
      <c r="F123">
        <f t="shared" si="4"/>
        <v>0.17513063826124786</v>
      </c>
      <c r="G123">
        <f t="shared" si="5"/>
        <v>0.18431835056092369</v>
      </c>
      <c r="H123" s="20">
        <v>0.34652974154847982</v>
      </c>
      <c r="I123">
        <v>0.27753737225041347</v>
      </c>
      <c r="J123">
        <v>0.28219783978042351</v>
      </c>
      <c r="K123">
        <v>0.13631922124885348</v>
      </c>
      <c r="L123" s="21">
        <v>0.21431069309045531</v>
      </c>
      <c r="M123">
        <v>6.3179852495609007E-2</v>
      </c>
      <c r="N123">
        <v>9.4450964433704793E-2</v>
      </c>
      <c r="O123">
        <v>5.5084960366329649E-2</v>
      </c>
      <c r="P123">
        <v>0.1572855802670291</v>
      </c>
      <c r="Q123" s="21">
        <v>0.12441015713118009</v>
      </c>
      <c r="R123">
        <v>0.23300357482835182</v>
      </c>
      <c r="S123">
        <v>0.1758330939274339</v>
      </c>
      <c r="T123">
        <v>0.14755415532762881</v>
      </c>
      <c r="U123">
        <v>8.8347655034934899E-2</v>
      </c>
      <c r="V123" s="22">
        <v>0.36873039668302726</v>
      </c>
    </row>
    <row r="124" spans="1:22" ht="14.25" thickBot="1">
      <c r="A124">
        <v>635</v>
      </c>
      <c r="B124">
        <v>2014</v>
      </c>
      <c r="C124">
        <v>7.7999999999999996E-3</v>
      </c>
      <c r="D124" s="19" t="s">
        <v>57</v>
      </c>
      <c r="E124">
        <f t="shared" si="3"/>
        <v>0.18739518793490986</v>
      </c>
      <c r="F124">
        <f t="shared" si="4"/>
        <v>0.14592096030886983</v>
      </c>
      <c r="H124" s="20">
        <v>0.39237866492425089</v>
      </c>
      <c r="I124">
        <v>0.21714190845613374</v>
      </c>
      <c r="J124">
        <v>0.12842588932438675</v>
      </c>
      <c r="K124">
        <v>0.14955452148962281</v>
      </c>
      <c r="L124" s="21">
        <v>4.9474955480155076E-2</v>
      </c>
      <c r="M124">
        <v>3.4392329591793357E-2</v>
      </c>
      <c r="N124">
        <v>0.167205036814423</v>
      </c>
      <c r="O124">
        <v>2.8794376390193017E-2</v>
      </c>
      <c r="P124"/>
      <c r="Q124" s="21"/>
      <c r="V124" s="22"/>
    </row>
    <row r="125" spans="1:22" ht="14.25" thickBot="1">
      <c r="A125">
        <v>636</v>
      </c>
      <c r="B125">
        <v>1989</v>
      </c>
      <c r="C125">
        <v>7.7000000000000002E-3</v>
      </c>
      <c r="D125" s="19" t="s">
        <v>57</v>
      </c>
      <c r="E125">
        <f t="shared" si="3"/>
        <v>0.11821587307451428</v>
      </c>
      <c r="F125">
        <f t="shared" si="4"/>
        <v>0.18364190904511998</v>
      </c>
      <c r="G125">
        <f t="shared" si="5"/>
        <v>0.14944434668828824</v>
      </c>
      <c r="H125" s="20">
        <v>8.3362392870369006E-2</v>
      </c>
      <c r="I125">
        <v>0.16243337649196365</v>
      </c>
      <c r="J125">
        <v>0.1078829138947542</v>
      </c>
      <c r="K125">
        <v>9.9118651238282798E-2</v>
      </c>
      <c r="L125" s="21">
        <v>0.13828203087720184</v>
      </c>
      <c r="M125">
        <v>0.49095108659772302</v>
      </c>
      <c r="N125">
        <v>0.19115523330074599</v>
      </c>
      <c r="O125">
        <v>0.25758016390080068</v>
      </c>
      <c r="P125">
        <v>0.13047465169927094</v>
      </c>
      <c r="Q125" s="21">
        <v>0.17517858958008778</v>
      </c>
      <c r="R125">
        <v>1.243912041418024E-2</v>
      </c>
      <c r="S125">
        <v>0.22654409889731283</v>
      </c>
      <c r="T125">
        <v>1.021657301147734E-2</v>
      </c>
      <c r="U125">
        <v>0.10308122791551201</v>
      </c>
      <c r="V125" s="22">
        <v>5.2965089634641201E-2</v>
      </c>
    </row>
    <row r="126" spans="1:22" ht="14.25" thickBot="1">
      <c r="A126">
        <v>640</v>
      </c>
      <c r="B126">
        <v>1999</v>
      </c>
      <c r="C126">
        <v>1.03E-2</v>
      </c>
      <c r="D126" s="19" t="s">
        <v>57</v>
      </c>
      <c r="E126">
        <f t="shared" si="3"/>
        <v>0.20169469483525324</v>
      </c>
      <c r="F126">
        <f t="shared" si="4"/>
        <v>0.19901174442029651</v>
      </c>
      <c r="G126">
        <f t="shared" si="5"/>
        <v>0.15272128284121747</v>
      </c>
      <c r="H126" s="20">
        <v>0.42606789694019631</v>
      </c>
      <c r="I126">
        <v>0.31801294122011986</v>
      </c>
      <c r="J126">
        <v>0.11320901721184004</v>
      </c>
      <c r="K126">
        <v>6.0552931411715798E-2</v>
      </c>
      <c r="L126" s="21">
        <v>9.0630687392394105E-2</v>
      </c>
      <c r="M126">
        <v>0.1713749037261825</v>
      </c>
      <c r="N126">
        <v>0.16644736651382405</v>
      </c>
      <c r="O126">
        <v>0.17700888766875661</v>
      </c>
      <c r="P126">
        <v>0.3790960671516721</v>
      </c>
      <c r="Q126" s="21">
        <v>8.771674496626386E-2</v>
      </c>
      <c r="R126">
        <v>8.3188006062862044E-2</v>
      </c>
      <c r="S126">
        <v>9.2607210789296096E-2</v>
      </c>
      <c r="T126">
        <v>3.9632636614773474E-2</v>
      </c>
      <c r="U126">
        <v>2.9161818442500848E-2</v>
      </c>
      <c r="V126" s="22">
        <v>5.6112126505864397E-2</v>
      </c>
    </row>
    <row r="127" spans="1:22" ht="14.25" thickBot="1">
      <c r="A127">
        <v>708</v>
      </c>
      <c r="B127">
        <v>2010</v>
      </c>
      <c r="C127">
        <v>6.1999999999999998E-3</v>
      </c>
      <c r="D127" s="19" t="s">
        <v>58</v>
      </c>
      <c r="E127">
        <f t="shared" si="3"/>
        <v>0.40116525625069183</v>
      </c>
      <c r="F127">
        <f t="shared" si="4"/>
        <v>0.27285568060766485</v>
      </c>
      <c r="G127">
        <f t="shared" si="5"/>
        <v>0.25861408294477684</v>
      </c>
      <c r="H127" s="20">
        <v>0.25042894154524797</v>
      </c>
      <c r="I127">
        <v>0.61830299200354621</v>
      </c>
      <c r="J127">
        <v>3.1852521541027821E-2</v>
      </c>
      <c r="K127">
        <v>0.28836785168602352</v>
      </c>
      <c r="L127" s="21">
        <v>0.81687397447761356</v>
      </c>
      <c r="M127">
        <v>0.10858262597220791</v>
      </c>
      <c r="N127">
        <v>0.33523299261387102</v>
      </c>
      <c r="O127">
        <v>5.2299629770114403E-2</v>
      </c>
      <c r="P127">
        <v>7.5200827241742929E-2</v>
      </c>
      <c r="Q127" s="21">
        <v>0.15141444922525346</v>
      </c>
      <c r="R127">
        <v>0.1175864846604842</v>
      </c>
      <c r="S127">
        <v>0.34687585817357897</v>
      </c>
      <c r="T127">
        <v>0.16896392937138605</v>
      </c>
      <c r="V127" s="22"/>
    </row>
    <row r="128" spans="1:22" ht="14.25" thickBot="1">
      <c r="A128">
        <v>709</v>
      </c>
      <c r="B128">
        <v>1992</v>
      </c>
      <c r="C128">
        <v>4.7000000000000002E-3</v>
      </c>
      <c r="D128" s="19" t="s">
        <v>58</v>
      </c>
      <c r="E128">
        <f t="shared" si="3"/>
        <v>0.26894770264930823</v>
      </c>
      <c r="F128">
        <f t="shared" si="4"/>
        <v>0.19282745695941997</v>
      </c>
      <c r="G128">
        <f t="shared" si="5"/>
        <v>0.18398801477310781</v>
      </c>
      <c r="H128" s="20">
        <v>0.55031485601315921</v>
      </c>
      <c r="I128">
        <v>0.30888336400725402</v>
      </c>
      <c r="J128">
        <v>0.2369077419783448</v>
      </c>
      <c r="K128">
        <v>0.20664156408884626</v>
      </c>
      <c r="L128" s="21">
        <v>4.1990987158937003E-2</v>
      </c>
      <c r="M128">
        <v>0.29025950402706524</v>
      </c>
      <c r="N128">
        <v>7.4367064063331101E-2</v>
      </c>
      <c r="O128">
        <v>7.5129825582596718E-2</v>
      </c>
      <c r="P128">
        <v>5.1005764583517327E-2</v>
      </c>
      <c r="Q128" s="21">
        <v>9.2773898091147944E-2</v>
      </c>
      <c r="R128">
        <v>0.30503094837670752</v>
      </c>
      <c r="S128">
        <v>0.12229869381498465</v>
      </c>
      <c r="T128">
        <v>4.0776391945889223E-2</v>
      </c>
      <c r="U128">
        <v>0.12066641090163556</v>
      </c>
      <c r="V128" s="22">
        <v>0.2427732069631999</v>
      </c>
    </row>
    <row r="129" spans="1:22" ht="14.25" thickBot="1">
      <c r="A129">
        <v>710</v>
      </c>
      <c r="B129">
        <v>2009</v>
      </c>
      <c r="C129">
        <v>5.7000000000000002E-3</v>
      </c>
      <c r="D129" s="19" t="s">
        <v>58</v>
      </c>
      <c r="E129">
        <f t="shared" si="3"/>
        <v>0.23568444002082201</v>
      </c>
      <c r="F129">
        <f t="shared" si="4"/>
        <v>0.19964568042214761</v>
      </c>
      <c r="G129">
        <f t="shared" si="5"/>
        <v>0.17909035078221333</v>
      </c>
      <c r="H129" s="20">
        <v>0.40264107817076439</v>
      </c>
      <c r="I129">
        <v>0.11635145047241648</v>
      </c>
      <c r="J129">
        <v>0.31308075944647346</v>
      </c>
      <c r="K129">
        <v>9.8687175257951246E-2</v>
      </c>
      <c r="L129" s="21">
        <v>0.24766173675650435</v>
      </c>
      <c r="M129">
        <v>0.26733750578061871</v>
      </c>
      <c r="N129">
        <v>0.1470584098880246</v>
      </c>
      <c r="O129">
        <v>0.21989120217765043</v>
      </c>
      <c r="P129">
        <v>4.7407484132950893E-2</v>
      </c>
      <c r="Q129" s="21">
        <v>0.13634000213812167</v>
      </c>
      <c r="R129">
        <v>0.17283227425976688</v>
      </c>
      <c r="S129">
        <v>4.8021984682461022E-2</v>
      </c>
      <c r="T129">
        <v>0.11086349700506942</v>
      </c>
      <c r="V129" s="22"/>
    </row>
    <row r="130" spans="1:22" ht="14.25" thickBot="1">
      <c r="A130">
        <v>711</v>
      </c>
      <c r="B130">
        <v>2004</v>
      </c>
      <c r="C130">
        <v>4.4999999999999997E-3</v>
      </c>
      <c r="D130" s="19" t="s">
        <v>58</v>
      </c>
      <c r="E130">
        <f t="shared" si="3"/>
        <v>0.17994291711347871</v>
      </c>
      <c r="F130">
        <f t="shared" si="4"/>
        <v>0.16905831168837887</v>
      </c>
      <c r="G130">
        <f t="shared" si="5"/>
        <v>0.15951333675055698</v>
      </c>
      <c r="H130" s="20">
        <v>0.32670087997228281</v>
      </c>
      <c r="I130">
        <v>5.4382233366727303E-2</v>
      </c>
      <c r="J130">
        <v>0.13800771373431528</v>
      </c>
      <c r="K130">
        <v>0.16603954843846228</v>
      </c>
      <c r="L130" s="21">
        <v>0.21458421005560582</v>
      </c>
      <c r="M130">
        <v>0.181345607114937</v>
      </c>
      <c r="N130">
        <v>9.4818158061316826E-2</v>
      </c>
      <c r="O130">
        <v>0.21595131078016708</v>
      </c>
      <c r="P130">
        <v>0.12625930169005578</v>
      </c>
      <c r="Q130" s="21">
        <v>0.17249415366991844</v>
      </c>
      <c r="R130">
        <v>0.11466868995996211</v>
      </c>
      <c r="S130">
        <v>0.12759896498998222</v>
      </c>
      <c r="T130">
        <v>0.18878443444801277</v>
      </c>
      <c r="U130">
        <v>8.2661305513069924E-2</v>
      </c>
      <c r="V130" s="22">
        <v>0.18840353946353927</v>
      </c>
    </row>
    <row r="131" spans="1:22" ht="14.25" thickBot="1">
      <c r="A131">
        <v>712</v>
      </c>
      <c r="B131">
        <v>1994</v>
      </c>
      <c r="C131">
        <v>5.8999999999999999E-3</v>
      </c>
      <c r="D131" s="19" t="s">
        <v>58</v>
      </c>
      <c r="E131">
        <f t="shared" ref="E131:E167" si="6">AVERAGE(H131:L131)</f>
        <v>0.14841392021653652</v>
      </c>
      <c r="F131">
        <f t="shared" ref="F131:F167" si="7">AVERAGE(H131:Q131)</f>
        <v>0.15010234630771996</v>
      </c>
      <c r="G131">
        <f t="shared" ref="G131:G167" si="8">AVERAGE(H131:V131)</f>
        <v>0.12503040818087058</v>
      </c>
      <c r="H131" s="20">
        <v>0.20181409031419362</v>
      </c>
      <c r="I131">
        <v>0.11906947803438904</v>
      </c>
      <c r="J131">
        <v>0.14098496092813984</v>
      </c>
      <c r="K131">
        <v>0.10204806086059154</v>
      </c>
      <c r="L131" s="21">
        <v>0.17815301094536856</v>
      </c>
      <c r="M131">
        <v>0.24314981438963182</v>
      </c>
      <c r="N131">
        <v>0.27439787055002962</v>
      </c>
      <c r="O131">
        <v>8.67942182664352E-2</v>
      </c>
      <c r="P131">
        <v>4.0574273103434255E-2</v>
      </c>
      <c r="Q131" s="21">
        <v>0.11403768568498629</v>
      </c>
      <c r="R131">
        <v>0.12213841085770577</v>
      </c>
      <c r="S131">
        <v>2.4773082269531441E-2</v>
      </c>
      <c r="T131">
        <v>0.13132997012995598</v>
      </c>
      <c r="U131">
        <v>2.7794039331451279E-2</v>
      </c>
      <c r="V131" s="22">
        <v>6.8397157047214829E-2</v>
      </c>
    </row>
    <row r="132" spans="1:22" ht="14.25" thickBot="1">
      <c r="A132">
        <v>715</v>
      </c>
      <c r="B132">
        <v>2005</v>
      </c>
      <c r="C132">
        <v>4.5999999999999999E-3</v>
      </c>
      <c r="D132" s="19" t="s">
        <v>55</v>
      </c>
      <c r="E132">
        <f t="shared" si="6"/>
        <v>0.84789983054249407</v>
      </c>
      <c r="F132">
        <f t="shared" si="7"/>
        <v>0.70041110889507263</v>
      </c>
      <c r="G132">
        <f t="shared" si="8"/>
        <v>0.57373554007851202</v>
      </c>
      <c r="H132" s="20">
        <v>0.48187878019298436</v>
      </c>
      <c r="I132">
        <v>0.56548600871195731</v>
      </c>
      <c r="J132">
        <v>1.6115059845286395</v>
      </c>
      <c r="K132">
        <v>1.1950459560199898</v>
      </c>
      <c r="L132" s="21">
        <v>0.38558242325889935</v>
      </c>
      <c r="M132">
        <v>0.50206484668569606</v>
      </c>
      <c r="N132">
        <v>0.79046853815143658</v>
      </c>
      <c r="O132">
        <v>0.24717376797121199</v>
      </c>
      <c r="P132">
        <v>0.18098641179237396</v>
      </c>
      <c r="Q132" s="21">
        <v>1.0439183716375351</v>
      </c>
      <c r="R132">
        <v>0.29901922010150933</v>
      </c>
      <c r="S132">
        <v>0.54318903361004067</v>
      </c>
      <c r="T132">
        <v>0.13835558152700944</v>
      </c>
      <c r="U132">
        <v>0.3631311900647633</v>
      </c>
      <c r="V132" s="22">
        <v>0.25822698692363066</v>
      </c>
    </row>
    <row r="133" spans="1:22" ht="14.25" thickBot="1">
      <c r="A133">
        <v>717</v>
      </c>
      <c r="B133">
        <v>1994</v>
      </c>
      <c r="C133">
        <v>7.7999999999999996E-3</v>
      </c>
      <c r="D133" s="19" t="s">
        <v>55</v>
      </c>
      <c r="E133">
        <f t="shared" si="6"/>
        <v>0.44729574436249842</v>
      </c>
      <c r="F133">
        <f t="shared" si="7"/>
        <v>0.33908915846528492</v>
      </c>
      <c r="G133">
        <f t="shared" si="8"/>
        <v>0.30101519341967325</v>
      </c>
      <c r="H133" s="20">
        <v>1.0430113418173195</v>
      </c>
      <c r="I133">
        <v>0.4221214772559822</v>
      </c>
      <c r="J133">
        <v>0.46701552968555726</v>
      </c>
      <c r="K133">
        <v>0.12724184882611206</v>
      </c>
      <c r="L133" s="21">
        <v>0.17708852422752094</v>
      </c>
      <c r="M133">
        <v>0.31193282225655566</v>
      </c>
      <c r="N133">
        <v>0.41776265337579221</v>
      </c>
      <c r="O133">
        <v>0.11986018920596418</v>
      </c>
      <c r="P133">
        <v>0.18380254834010326</v>
      </c>
      <c r="Q133" s="21">
        <v>0.12105464966194168</v>
      </c>
      <c r="R133">
        <v>0.21460236666072319</v>
      </c>
      <c r="S133">
        <v>0.18022871246978622</v>
      </c>
      <c r="T133">
        <v>0.20795044986635955</v>
      </c>
      <c r="U133">
        <v>0.27387485590750071</v>
      </c>
      <c r="V133" s="22">
        <v>0.24767993173787964</v>
      </c>
    </row>
    <row r="134" spans="1:22" ht="14.25" thickBot="1">
      <c r="A134">
        <v>725</v>
      </c>
      <c r="B134">
        <v>2002</v>
      </c>
      <c r="C134">
        <v>1.1900000000000001E-2</v>
      </c>
      <c r="D134" s="19" t="s">
        <v>59</v>
      </c>
      <c r="E134">
        <f t="shared" si="6"/>
        <v>0.58860485587120626</v>
      </c>
      <c r="F134">
        <f t="shared" si="7"/>
        <v>0.70749472200938224</v>
      </c>
      <c r="G134">
        <f t="shared" si="8"/>
        <v>0.66303159056071437</v>
      </c>
      <c r="H134" s="20">
        <v>0.80636818618905415</v>
      </c>
      <c r="I134">
        <v>0.40869930828409889</v>
      </c>
      <c r="J134">
        <v>0.19413327957928503</v>
      </c>
      <c r="K134">
        <v>0.33929619497013053</v>
      </c>
      <c r="L134" s="21">
        <v>1.1945273103334626</v>
      </c>
      <c r="M134">
        <v>0.38815176218307262</v>
      </c>
      <c r="N134">
        <v>0.22937249538172086</v>
      </c>
      <c r="O134">
        <v>0.23000202431984634</v>
      </c>
      <c r="P134">
        <v>0.60122607957015906</v>
      </c>
      <c r="Q134" s="21">
        <v>2.6831705792829914</v>
      </c>
      <c r="R134">
        <v>0.35087604934740291</v>
      </c>
      <c r="S134">
        <v>0.40861912172581988</v>
      </c>
      <c r="T134">
        <v>1.4423279645318672</v>
      </c>
      <c r="U134">
        <v>0.48387069280581457</v>
      </c>
      <c r="V134" s="22">
        <v>0.18483280990599002</v>
      </c>
    </row>
    <row r="135" spans="1:22" ht="14.25" thickBot="1">
      <c r="A135">
        <v>727</v>
      </c>
      <c r="B135">
        <v>1992</v>
      </c>
      <c r="C135">
        <v>1.12E-2</v>
      </c>
      <c r="D135" s="19" t="s">
        <v>59</v>
      </c>
      <c r="E135">
        <f t="shared" si="6"/>
        <v>0.64148392340887384</v>
      </c>
      <c r="F135">
        <f t="shared" si="7"/>
        <v>0.43050472769343512</v>
      </c>
      <c r="H135" s="20">
        <v>0.65910945982255686</v>
      </c>
      <c r="I135">
        <v>0.83724204176360362</v>
      </c>
      <c r="J135">
        <v>0.99245852945010327</v>
      </c>
      <c r="K135">
        <v>0.41476129973327708</v>
      </c>
      <c r="L135" s="21">
        <v>0.30384828627482802</v>
      </c>
      <c r="M135">
        <v>0.36899393084024695</v>
      </c>
      <c r="N135">
        <v>0.15982476012001737</v>
      </c>
      <c r="O135">
        <v>0.23702135728613691</v>
      </c>
      <c r="P135">
        <v>0.13549953629663128</v>
      </c>
      <c r="Q135" s="21">
        <v>0.19628807534694886</v>
      </c>
      <c r="R135">
        <v>0.21506618644375317</v>
      </c>
      <c r="V135" s="22"/>
    </row>
    <row r="136" spans="1:22" ht="14.25" thickBot="1">
      <c r="A136">
        <v>731</v>
      </c>
      <c r="B136">
        <v>2007</v>
      </c>
      <c r="C136">
        <v>7.7000000000000002E-3</v>
      </c>
      <c r="D136" s="19" t="s">
        <v>59</v>
      </c>
      <c r="E136">
        <f t="shared" si="6"/>
        <v>0.20093800714473184</v>
      </c>
      <c r="F136">
        <f t="shared" si="7"/>
        <v>0.1800817966463612</v>
      </c>
      <c r="G136">
        <f t="shared" si="8"/>
        <v>0.15914901646677396</v>
      </c>
      <c r="H136" s="20">
        <v>0.32503799001177475</v>
      </c>
      <c r="I136">
        <v>0.14143937039384313</v>
      </c>
      <c r="J136">
        <v>0.32502113326370025</v>
      </c>
      <c r="K136">
        <v>0.17338179624851252</v>
      </c>
      <c r="L136" s="21">
        <v>3.9809745805828564E-2</v>
      </c>
      <c r="M136">
        <v>0.33307612205920761</v>
      </c>
      <c r="N136">
        <v>0.18977134217092081</v>
      </c>
      <c r="O136">
        <v>0.17109239186731595</v>
      </c>
      <c r="P136">
        <v>4.0103343532639432E-2</v>
      </c>
      <c r="Q136" s="21">
        <v>6.2084731109869229E-2</v>
      </c>
      <c r="R136">
        <v>0.18824174059126941</v>
      </c>
      <c r="S136">
        <v>0.16219239172888308</v>
      </c>
      <c r="T136">
        <v>5.2870643641928228E-2</v>
      </c>
      <c r="U136">
        <v>0.11354549417391946</v>
      </c>
      <c r="V136" s="22">
        <v>6.956701040199699E-2</v>
      </c>
    </row>
    <row r="137" spans="1:22" ht="14.25" thickBot="1">
      <c r="A137">
        <v>732</v>
      </c>
      <c r="B137">
        <v>1992</v>
      </c>
      <c r="C137">
        <v>6.4999999999999997E-3</v>
      </c>
      <c r="D137" s="19" t="s">
        <v>59</v>
      </c>
      <c r="E137">
        <f t="shared" si="6"/>
        <v>0.43382510735874524</v>
      </c>
      <c r="F137">
        <f t="shared" si="7"/>
        <v>0.26536523556919012</v>
      </c>
      <c r="G137">
        <f t="shared" si="8"/>
        <v>0.21301964512758775</v>
      </c>
      <c r="H137" s="20">
        <v>0.67944155633928149</v>
      </c>
      <c r="I137">
        <v>0.47734562499404298</v>
      </c>
      <c r="J137">
        <v>0.79580423743026296</v>
      </c>
      <c r="K137">
        <v>8.7779504298867342E-2</v>
      </c>
      <c r="L137" s="21">
        <v>0.1287546137312712</v>
      </c>
      <c r="M137">
        <v>8.6287894915452343E-2</v>
      </c>
      <c r="N137">
        <v>0.1211550970827542</v>
      </c>
      <c r="O137">
        <v>7.319714750707304E-2</v>
      </c>
      <c r="P137">
        <v>9.61661928110977E-2</v>
      </c>
      <c r="Q137" s="21">
        <v>0.107720486581798</v>
      </c>
      <c r="R137">
        <v>6.9595167966387705E-2</v>
      </c>
      <c r="S137">
        <v>0.106267505988673</v>
      </c>
      <c r="T137">
        <v>0.108184761611793</v>
      </c>
      <c r="U137">
        <v>0.16133536579226074</v>
      </c>
      <c r="V137" s="22">
        <v>9.6259519862800805E-2</v>
      </c>
    </row>
    <row r="138" spans="1:22" ht="14.25" thickBot="1">
      <c r="A138">
        <v>733</v>
      </c>
      <c r="B138">
        <v>1991</v>
      </c>
      <c r="C138">
        <v>1.78E-2</v>
      </c>
      <c r="D138" s="19" t="s">
        <v>59</v>
      </c>
      <c r="E138">
        <f t="shared" si="6"/>
        <v>0.25731999833779462</v>
      </c>
      <c r="F138">
        <f t="shared" si="7"/>
        <v>0.15108059861211851</v>
      </c>
      <c r="G138">
        <f t="shared" si="8"/>
        <v>0.1237331515033052</v>
      </c>
      <c r="H138" s="20">
        <v>0.60388347098300943</v>
      </c>
      <c r="I138">
        <v>0.44001750033537318</v>
      </c>
      <c r="J138">
        <v>2.6794331363358001E-2</v>
      </c>
      <c r="K138">
        <v>8.6938441678903647E-2</v>
      </c>
      <c r="L138" s="21">
        <v>0.12896624732832859</v>
      </c>
      <c r="M138">
        <v>5.9175271185847193E-2</v>
      </c>
      <c r="N138">
        <v>2.6210266226895516E-2</v>
      </c>
      <c r="O138">
        <v>6.6835942476221405E-2</v>
      </c>
      <c r="P138">
        <v>3.5845153803330781E-2</v>
      </c>
      <c r="Q138" s="21">
        <v>3.6139360739917296E-2</v>
      </c>
      <c r="R138">
        <v>4.3312506933159606E-2</v>
      </c>
      <c r="S138">
        <v>0.12267831427933419</v>
      </c>
      <c r="T138">
        <v>6.705070278280835E-2</v>
      </c>
      <c r="U138">
        <v>6.1818590374144146E-2</v>
      </c>
      <c r="V138" s="22">
        <v>5.0331172058946549E-2</v>
      </c>
    </row>
    <row r="139" spans="1:22" ht="14.25" thickBot="1">
      <c r="A139">
        <v>734</v>
      </c>
      <c r="B139">
        <v>2007</v>
      </c>
      <c r="C139">
        <v>1.77E-2</v>
      </c>
      <c r="D139" s="19" t="s">
        <v>59</v>
      </c>
      <c r="E139">
        <f t="shared" si="6"/>
        <v>0.69523136382013884</v>
      </c>
      <c r="F139">
        <f t="shared" si="7"/>
        <v>0.44574560805954427</v>
      </c>
      <c r="G139">
        <f t="shared" si="8"/>
        <v>0.39505876474771318</v>
      </c>
      <c r="H139" s="20">
        <v>0.90795524866894695</v>
      </c>
      <c r="I139">
        <v>1.1825934074321589</v>
      </c>
      <c r="J139">
        <v>0.79625302907359996</v>
      </c>
      <c r="K139">
        <v>0.33171239806498087</v>
      </c>
      <c r="L139" s="21">
        <v>0.25764273586100689</v>
      </c>
      <c r="M139">
        <v>0.20155804193477439</v>
      </c>
      <c r="N139">
        <v>0.2482878651141876</v>
      </c>
      <c r="O139">
        <v>0.26030417511206161</v>
      </c>
      <c r="P139">
        <v>0.13913816911177845</v>
      </c>
      <c r="Q139" s="21">
        <v>0.13201101022194592</v>
      </c>
      <c r="R139">
        <v>0.32047169726807262</v>
      </c>
      <c r="S139">
        <v>0.19485205926264396</v>
      </c>
      <c r="T139">
        <v>0.22674066715589219</v>
      </c>
      <c r="U139">
        <v>0.34522229991782888</v>
      </c>
      <c r="V139" s="22">
        <v>0.381138667015818</v>
      </c>
    </row>
    <row r="140" spans="1:22" ht="14.25" thickBot="1">
      <c r="A140">
        <v>735</v>
      </c>
      <c r="B140">
        <v>2015</v>
      </c>
      <c r="C140">
        <v>4.7000000000000002E-3</v>
      </c>
      <c r="D140" s="19" t="s">
        <v>59</v>
      </c>
      <c r="E140">
        <f t="shared" si="6"/>
        <v>0.46547647777043616</v>
      </c>
      <c r="F140">
        <f t="shared" si="7"/>
        <v>0.46684060112919018</v>
      </c>
      <c r="H140" s="20">
        <v>1.135135516276883</v>
      </c>
      <c r="I140">
        <v>0.11208636176205029</v>
      </c>
      <c r="J140">
        <v>0.35500409124771082</v>
      </c>
      <c r="K140">
        <v>0.36143244989042778</v>
      </c>
      <c r="L140" s="21">
        <v>0.36372396967510912</v>
      </c>
      <c r="M140">
        <v>0.79843681388664289</v>
      </c>
      <c r="N140">
        <v>0.1420650051655071</v>
      </c>
      <c r="P140"/>
      <c r="Q140" s="21"/>
      <c r="V140" s="22"/>
    </row>
    <row r="141" spans="1:22" ht="14.25" thickBot="1">
      <c r="A141">
        <v>741</v>
      </c>
      <c r="B141">
        <v>2013</v>
      </c>
      <c r="C141">
        <v>5.7999999999999996E-3</v>
      </c>
      <c r="D141" s="19" t="s">
        <v>61</v>
      </c>
      <c r="E141">
        <f t="shared" si="6"/>
        <v>0.74337331044820998</v>
      </c>
      <c r="F141">
        <f t="shared" si="7"/>
        <v>0.52392724104089827</v>
      </c>
      <c r="H141" s="20">
        <v>1.7102782010574715</v>
      </c>
      <c r="I141">
        <v>0.3591717861452387</v>
      </c>
      <c r="J141">
        <v>1.0369957979041662</v>
      </c>
      <c r="K141">
        <v>0.35075752512098862</v>
      </c>
      <c r="L141" s="21">
        <v>0.25966324201318475</v>
      </c>
      <c r="M141">
        <v>0.4335247591777176</v>
      </c>
      <c r="N141">
        <v>0.20970949251839308</v>
      </c>
      <c r="O141">
        <v>0.21475653510900841</v>
      </c>
      <c r="P141">
        <v>0.14048783032191522</v>
      </c>
      <c r="Q141" s="21"/>
      <c r="V141" s="22"/>
    </row>
    <row r="142" spans="1:22" ht="14.25" thickBot="1">
      <c r="A142">
        <v>745</v>
      </c>
      <c r="B142">
        <v>2013</v>
      </c>
      <c r="C142">
        <v>4.3E-3</v>
      </c>
      <c r="D142" s="19" t="s">
        <v>61</v>
      </c>
      <c r="E142">
        <f t="shared" si="6"/>
        <v>0.66545932238095706</v>
      </c>
      <c r="F142">
        <f t="shared" si="7"/>
        <v>0.65884924323503624</v>
      </c>
      <c r="H142" s="20">
        <v>1.7688306551025128</v>
      </c>
      <c r="I142">
        <v>8.6171719026076871E-2</v>
      </c>
      <c r="J142">
        <v>0.1194999564729614</v>
      </c>
      <c r="K142">
        <v>0.72682896402383879</v>
      </c>
      <c r="L142" s="21">
        <v>0.62596531727939553</v>
      </c>
      <c r="M142">
        <v>0.38175990395005455</v>
      </c>
      <c r="N142">
        <v>0.58186588844229847</v>
      </c>
      <c r="O142">
        <v>0.17250136324177781</v>
      </c>
      <c r="P142">
        <v>1.4662194215764111</v>
      </c>
      <c r="Q142" s="21"/>
      <c r="V142" s="22"/>
    </row>
    <row r="143" spans="1:22" ht="14.25" thickBot="1">
      <c r="A143">
        <v>749</v>
      </c>
      <c r="B143">
        <v>1987</v>
      </c>
      <c r="C143">
        <v>7.3000000000000001E-3</v>
      </c>
      <c r="D143" s="19" t="s">
        <v>61</v>
      </c>
      <c r="E143">
        <f t="shared" si="6"/>
        <v>0.54009007717099822</v>
      </c>
      <c r="F143">
        <f t="shared" si="7"/>
        <v>0.66616417442577236</v>
      </c>
      <c r="G143">
        <f t="shared" si="8"/>
        <v>0.50690310015194473</v>
      </c>
      <c r="H143" s="20">
        <v>1.1343954903732876</v>
      </c>
      <c r="I143">
        <v>0.54682463638971834</v>
      </c>
      <c r="J143">
        <v>0.80063247572101781</v>
      </c>
      <c r="K143">
        <v>0.11091991656330906</v>
      </c>
      <c r="L143" s="21">
        <v>0.10767786680765801</v>
      </c>
      <c r="M143">
        <v>1.0441474643684452</v>
      </c>
      <c r="N143">
        <v>2.2547690351910967</v>
      </c>
      <c r="O143">
        <v>0.20767324021229025</v>
      </c>
      <c r="P143">
        <v>0.13700945012612381</v>
      </c>
      <c r="Q143" s="21">
        <v>0.31759216850477628</v>
      </c>
      <c r="R143">
        <v>0.53469287081866668</v>
      </c>
      <c r="S143">
        <v>9.6313179112152439E-2</v>
      </c>
      <c r="T143">
        <v>0.14421860602753497</v>
      </c>
      <c r="U143">
        <v>0.15515747617226963</v>
      </c>
      <c r="V143" s="22">
        <v>1.1522625890823701E-2</v>
      </c>
    </row>
    <row r="144" spans="1:22" ht="14.25" thickBot="1">
      <c r="A144">
        <v>753</v>
      </c>
      <c r="B144">
        <v>2001</v>
      </c>
      <c r="C144">
        <v>6.4000000000000003E-3</v>
      </c>
      <c r="D144" s="19" t="s">
        <v>59</v>
      </c>
      <c r="E144">
        <f t="shared" si="6"/>
        <v>0.49344862134144296</v>
      </c>
      <c r="F144">
        <f t="shared" si="7"/>
        <v>0.40304999983996648</v>
      </c>
      <c r="G144">
        <f t="shared" si="8"/>
        <v>0.33744703540847937</v>
      </c>
      <c r="H144" s="20">
        <v>0.97340677594992897</v>
      </c>
      <c r="I144">
        <v>0.50224182630344449</v>
      </c>
      <c r="J144">
        <v>0.16397222608673276</v>
      </c>
      <c r="K144">
        <v>0.58540357770015561</v>
      </c>
      <c r="L144" s="21">
        <v>0.242218700666953</v>
      </c>
      <c r="M144">
        <v>0.17213524029157354</v>
      </c>
      <c r="N144">
        <v>0.13841181981139453</v>
      </c>
      <c r="O144">
        <v>0.83530420366876712</v>
      </c>
      <c r="P144">
        <v>0.12263576604145657</v>
      </c>
      <c r="Q144" s="21">
        <v>0.29476986187925819</v>
      </c>
      <c r="R144">
        <v>0.24040115497451001</v>
      </c>
      <c r="S144">
        <v>0.17957084643139146</v>
      </c>
      <c r="T144">
        <v>3.2356900448491516E-2</v>
      </c>
      <c r="U144">
        <v>0.20009755569857329</v>
      </c>
      <c r="V144" s="22">
        <v>0.37877907517455922</v>
      </c>
    </row>
    <row r="145" spans="1:22" ht="14.25" thickBot="1">
      <c r="A145">
        <v>757</v>
      </c>
      <c r="B145">
        <v>2007</v>
      </c>
      <c r="C145">
        <v>2.3E-3</v>
      </c>
      <c r="D145" s="19" t="s">
        <v>61</v>
      </c>
      <c r="E145">
        <f t="shared" si="6"/>
        <v>0.45671545859708312</v>
      </c>
      <c r="F145">
        <f t="shared" si="7"/>
        <v>0.49872402251813747</v>
      </c>
      <c r="G145">
        <f t="shared" si="8"/>
        <v>0.46100210317323242</v>
      </c>
      <c r="H145" s="20">
        <v>0.33898382719559617</v>
      </c>
      <c r="I145">
        <v>0.40011032448686357</v>
      </c>
      <c r="J145">
        <v>0.94324021602791241</v>
      </c>
      <c r="K145">
        <v>0.36751954315195867</v>
      </c>
      <c r="L145" s="21">
        <v>0.23372338212308472</v>
      </c>
      <c r="M145">
        <v>1.0621997490787194</v>
      </c>
      <c r="N145">
        <v>0.52919123413222391</v>
      </c>
      <c r="O145">
        <v>0.38812260953471334</v>
      </c>
      <c r="P145">
        <v>0.23209157106119896</v>
      </c>
      <c r="Q145" s="21">
        <v>0.49205776838910315</v>
      </c>
      <c r="R145">
        <v>0.39103334276903312</v>
      </c>
      <c r="S145">
        <v>0.68148853223573835</v>
      </c>
      <c r="T145">
        <v>0.2801675843844289</v>
      </c>
      <c r="U145">
        <v>0.47792260396058944</v>
      </c>
      <c r="V145" s="22">
        <v>9.7179259067322984E-2</v>
      </c>
    </row>
    <row r="146" spans="1:22" ht="14.25" thickBot="1">
      <c r="A146">
        <v>758</v>
      </c>
      <c r="B146">
        <v>1987</v>
      </c>
      <c r="C146">
        <v>2.5999999999999999E-3</v>
      </c>
      <c r="D146" s="19" t="s">
        <v>63</v>
      </c>
      <c r="E146">
        <f t="shared" si="6"/>
        <v>0.39420519071921445</v>
      </c>
      <c r="F146">
        <f t="shared" si="7"/>
        <v>0.31454807486162911</v>
      </c>
      <c r="G146">
        <f t="shared" si="8"/>
        <v>0.26542887386315656</v>
      </c>
      <c r="H146" s="20">
        <v>0.40375248877400988</v>
      </c>
      <c r="I146">
        <v>0.49587350602516933</v>
      </c>
      <c r="J146">
        <v>0.37089157704662157</v>
      </c>
      <c r="K146">
        <v>0.34663099247057277</v>
      </c>
      <c r="L146" s="21">
        <v>0.35387738927969853</v>
      </c>
      <c r="M146">
        <v>0.33151690375267917</v>
      </c>
      <c r="N146">
        <v>0.25324425174457282</v>
      </c>
      <c r="O146">
        <v>0.14342886114886316</v>
      </c>
      <c r="P146">
        <v>0.13901319490603584</v>
      </c>
      <c r="Q146" s="21">
        <v>0.30725158346806819</v>
      </c>
      <c r="R146">
        <v>0.2390288034546795</v>
      </c>
      <c r="S146">
        <v>0.12302390084185755</v>
      </c>
      <c r="T146">
        <v>9.0137555940785111E-2</v>
      </c>
      <c r="U146">
        <v>0.11833322523057807</v>
      </c>
      <c r="V146" s="22"/>
    </row>
    <row r="147" spans="1:22" ht="14.25" thickBot="1">
      <c r="A147">
        <v>763</v>
      </c>
      <c r="B147">
        <v>2013</v>
      </c>
      <c r="C147">
        <v>2.7000000000000001E-3</v>
      </c>
      <c r="D147" s="19" t="s">
        <v>63</v>
      </c>
      <c r="E147">
        <f t="shared" si="6"/>
        <v>0.24790198681428616</v>
      </c>
      <c r="F147">
        <f t="shared" si="7"/>
        <v>0.19349648652321116</v>
      </c>
      <c r="H147" s="20">
        <v>0.11261422511284251</v>
      </c>
      <c r="I147">
        <v>0.35694284859431619</v>
      </c>
      <c r="J147">
        <v>0.22540780748194217</v>
      </c>
      <c r="K147">
        <v>0.23017567653873633</v>
      </c>
      <c r="L147" s="21">
        <v>0.31436937634359363</v>
      </c>
      <c r="M147">
        <v>0.18325048640335381</v>
      </c>
      <c r="N147">
        <v>6.8074346662941793E-2</v>
      </c>
      <c r="O147">
        <v>0.19824718727951812</v>
      </c>
      <c r="P147">
        <v>5.2386424291655805E-2</v>
      </c>
      <c r="Q147" s="21"/>
      <c r="V147" s="22"/>
    </row>
    <row r="148" spans="1:22" ht="14.25" thickBot="1">
      <c r="A148">
        <v>767</v>
      </c>
      <c r="B148">
        <v>2001</v>
      </c>
      <c r="C148">
        <v>4.4000000000000003E-3</v>
      </c>
      <c r="D148" s="19" t="s">
        <v>63</v>
      </c>
      <c r="E148">
        <f t="shared" si="6"/>
        <v>0.97015631141527991</v>
      </c>
      <c r="F148">
        <f t="shared" si="7"/>
        <v>0.78449226683895479</v>
      </c>
      <c r="G148">
        <f t="shared" si="8"/>
        <v>0.63977720822017581</v>
      </c>
      <c r="H148" s="20">
        <v>1.3467152479730187</v>
      </c>
      <c r="I148">
        <v>1.476158523702565</v>
      </c>
      <c r="J148">
        <v>0.87690150298681646</v>
      </c>
      <c r="K148">
        <v>0.83068115538884713</v>
      </c>
      <c r="L148" s="21">
        <v>0.3203251270251522</v>
      </c>
      <c r="M148">
        <v>0.25623310607517702</v>
      </c>
      <c r="N148">
        <v>0.47781609651618318</v>
      </c>
      <c r="O148">
        <v>0.58728702298846169</v>
      </c>
      <c r="P148">
        <v>0.93139334211354341</v>
      </c>
      <c r="Q148" s="21">
        <v>0.74141154361978212</v>
      </c>
      <c r="R148">
        <v>0.44919728284747373</v>
      </c>
      <c r="S148">
        <v>0.30714714044362013</v>
      </c>
      <c r="T148">
        <v>0.19534826475785799</v>
      </c>
      <c r="U148">
        <v>0.51998439029980248</v>
      </c>
      <c r="V148" s="22">
        <v>0.28005837656433485</v>
      </c>
    </row>
    <row r="149" spans="1:22" ht="14.25" thickBot="1">
      <c r="A149">
        <v>768</v>
      </c>
      <c r="B149">
        <v>2012</v>
      </c>
      <c r="C149">
        <v>7.4999999999999997E-3</v>
      </c>
      <c r="D149" s="19" t="s">
        <v>63</v>
      </c>
      <c r="E149">
        <f t="shared" si="6"/>
        <v>0.27837407613473925</v>
      </c>
      <c r="F149">
        <f t="shared" si="7"/>
        <v>0.20884523248365516</v>
      </c>
      <c r="G149">
        <f t="shared" si="8"/>
        <v>0.20884523248365516</v>
      </c>
      <c r="H149" s="20">
        <v>0.29301573719439145</v>
      </c>
      <c r="I149">
        <v>0.33883965624625229</v>
      </c>
      <c r="J149">
        <v>0.31071345700342434</v>
      </c>
      <c r="K149">
        <v>0.35181962735358852</v>
      </c>
      <c r="L149" s="21">
        <v>9.7481902876039597E-2</v>
      </c>
      <c r="M149">
        <v>0.15575401803627936</v>
      </c>
      <c r="N149">
        <v>7.0861264419578546E-2</v>
      </c>
      <c r="O149">
        <v>0.10584542672865573</v>
      </c>
      <c r="P149">
        <v>0.16418115358175331</v>
      </c>
      <c r="Q149" s="21">
        <v>0.1999400813965887</v>
      </c>
      <c r="V149" s="22"/>
    </row>
    <row r="150" spans="1:22" ht="14.25" thickBot="1">
      <c r="A150">
        <v>769</v>
      </c>
      <c r="B150">
        <v>2008</v>
      </c>
      <c r="C150">
        <v>9.9000000000000008E-3</v>
      </c>
      <c r="D150" s="19" t="s">
        <v>63</v>
      </c>
      <c r="E150">
        <f t="shared" si="6"/>
        <v>0.67532923660059097</v>
      </c>
      <c r="F150">
        <f t="shared" si="7"/>
        <v>0.41602359049843213</v>
      </c>
      <c r="G150">
        <f t="shared" si="8"/>
        <v>0.32747943259634876</v>
      </c>
      <c r="H150" s="20">
        <v>0.65252171479198251</v>
      </c>
      <c r="I150">
        <v>1.2899308225005215</v>
      </c>
      <c r="J150">
        <v>0.79052552905211537</v>
      </c>
      <c r="K150">
        <v>0.38293459185602041</v>
      </c>
      <c r="L150" s="21">
        <v>0.26073352480231504</v>
      </c>
      <c r="M150">
        <v>0.27954273062699564</v>
      </c>
      <c r="N150">
        <v>0.18107559298790821</v>
      </c>
      <c r="O150">
        <v>0.1714416525347546</v>
      </c>
      <c r="P150">
        <v>0.11401605643269011</v>
      </c>
      <c r="Q150" s="21">
        <v>3.7513689399017225E-2</v>
      </c>
      <c r="R150">
        <v>0.13489665638826875</v>
      </c>
      <c r="S150">
        <v>0.10335308813514708</v>
      </c>
      <c r="T150">
        <v>5.137452822123522E-2</v>
      </c>
      <c r="U150">
        <v>0.13485187861991038</v>
      </c>
      <c r="V150" s="22"/>
    </row>
    <row r="151" spans="1:22" ht="14.25" thickBot="1">
      <c r="A151">
        <v>774</v>
      </c>
      <c r="B151">
        <v>2003</v>
      </c>
      <c r="C151">
        <v>3.3999999999999998E-3</v>
      </c>
      <c r="D151" s="19" t="s">
        <v>63</v>
      </c>
      <c r="E151">
        <f t="shared" si="6"/>
        <v>0.24552767677830117</v>
      </c>
      <c r="F151">
        <f t="shared" si="7"/>
        <v>0.3293926862519132</v>
      </c>
      <c r="G151">
        <f t="shared" si="8"/>
        <v>0.32078263355776976</v>
      </c>
      <c r="H151" s="20">
        <v>8.4846217548455283E-2</v>
      </c>
      <c r="I151">
        <v>1.7673004033979204E-2</v>
      </c>
      <c r="J151">
        <v>0.43045992305139674</v>
      </c>
      <c r="K151">
        <v>0.27474958500326313</v>
      </c>
      <c r="L151" s="21">
        <v>0.41990965425441168</v>
      </c>
      <c r="M151">
        <v>0.17540944851194598</v>
      </c>
      <c r="N151">
        <v>1.3673904212863546</v>
      </c>
      <c r="O151">
        <v>0.20165842943266113</v>
      </c>
      <c r="P151">
        <v>0.15766206025370641</v>
      </c>
      <c r="Q151" s="21">
        <v>0.16416811914295831</v>
      </c>
      <c r="R151">
        <v>0.18603742458661013</v>
      </c>
      <c r="S151">
        <v>0.14713675650560148</v>
      </c>
      <c r="T151">
        <v>0.41779294245308285</v>
      </c>
      <c r="U151">
        <v>0.3988004354985073</v>
      </c>
      <c r="V151" s="22">
        <v>0.36804508180361206</v>
      </c>
    </row>
    <row r="152" spans="1:22" ht="14.25" thickBot="1">
      <c r="A152">
        <v>776</v>
      </c>
      <c r="B152">
        <v>1998</v>
      </c>
      <c r="C152">
        <v>6.8999999999999999E-3</v>
      </c>
      <c r="D152" s="19" t="s">
        <v>63</v>
      </c>
      <c r="E152">
        <f t="shared" si="6"/>
        <v>0.30115975288547692</v>
      </c>
      <c r="F152">
        <f t="shared" si="7"/>
        <v>0.25237267838951771</v>
      </c>
      <c r="G152">
        <f t="shared" si="8"/>
        <v>0.28280096515346531</v>
      </c>
      <c r="H152" s="20">
        <v>0.429760186872919</v>
      </c>
      <c r="I152">
        <v>0.22138131593771607</v>
      </c>
      <c r="J152">
        <v>0.33517027694704515</v>
      </c>
      <c r="K152">
        <v>0.11386387392397329</v>
      </c>
      <c r="L152" s="21">
        <v>0.40562311074573104</v>
      </c>
      <c r="M152">
        <v>2.5385518830925841E-2</v>
      </c>
      <c r="N152">
        <v>0.28958235059559617</v>
      </c>
      <c r="O152">
        <v>0.20168146423434091</v>
      </c>
      <c r="P152">
        <v>0.33138205305767898</v>
      </c>
      <c r="Q152" s="21">
        <v>0.16989663274925063</v>
      </c>
      <c r="R152">
        <v>0.43027376684603469</v>
      </c>
      <c r="S152">
        <v>0.28193783697186875</v>
      </c>
      <c r="T152">
        <v>0.28953574709448282</v>
      </c>
      <c r="U152">
        <v>0.38261403538081096</v>
      </c>
      <c r="V152" s="22">
        <v>0.33392630711360527</v>
      </c>
    </row>
    <row r="153" spans="1:22" ht="14.25" thickBot="1">
      <c r="A153">
        <v>777</v>
      </c>
      <c r="B153">
        <v>2006</v>
      </c>
      <c r="C153">
        <v>7.9000000000000008E-3</v>
      </c>
      <c r="D153" s="19" t="s">
        <v>63</v>
      </c>
      <c r="E153">
        <f t="shared" si="6"/>
        <v>0.48253301942485016</v>
      </c>
      <c r="F153">
        <f t="shared" si="7"/>
        <v>0.40088503699724953</v>
      </c>
      <c r="G153">
        <f t="shared" si="8"/>
        <v>0.36970315557749112</v>
      </c>
      <c r="H153" s="20">
        <v>0.78695891825986219</v>
      </c>
      <c r="I153">
        <v>0.36854746566222973</v>
      </c>
      <c r="J153">
        <v>0.3923886581954783</v>
      </c>
      <c r="K153">
        <v>0.39832296346301777</v>
      </c>
      <c r="L153" s="21">
        <v>0.46644709154366282</v>
      </c>
      <c r="M153">
        <v>0.2789122055899485</v>
      </c>
      <c r="N153">
        <v>0.36104106444585349</v>
      </c>
      <c r="O153">
        <v>0.20541955030429995</v>
      </c>
      <c r="P153">
        <v>0.35684759633133478</v>
      </c>
      <c r="Q153" s="21">
        <v>0.39396485617680699</v>
      </c>
      <c r="R153">
        <v>0.26504315287349323</v>
      </c>
      <c r="S153">
        <v>0.3719691491621876</v>
      </c>
      <c r="T153">
        <v>0.22335855890663528</v>
      </c>
      <c r="U153">
        <v>0.26451984708847398</v>
      </c>
      <c r="V153" s="22">
        <v>0.41180625565908296</v>
      </c>
    </row>
    <row r="154" spans="1:22" ht="14.25" thickBot="1">
      <c r="A154">
        <v>778</v>
      </c>
      <c r="B154">
        <v>1990</v>
      </c>
      <c r="C154">
        <v>2.3999999999999998E-3</v>
      </c>
      <c r="D154" s="19" t="s">
        <v>63</v>
      </c>
      <c r="E154">
        <f t="shared" si="6"/>
        <v>1.4613313451372354</v>
      </c>
      <c r="F154">
        <f t="shared" si="7"/>
        <v>0.83883112452249586</v>
      </c>
      <c r="G154">
        <f t="shared" si="8"/>
        <v>0.64572557420552712</v>
      </c>
      <c r="H154" s="20">
        <v>2.798363868880096</v>
      </c>
      <c r="I154">
        <v>0.7043008663100685</v>
      </c>
      <c r="J154">
        <v>1.7679934750290955</v>
      </c>
      <c r="K154">
        <v>1.3985327095391302</v>
      </c>
      <c r="L154" s="21">
        <v>0.63746580592778757</v>
      </c>
      <c r="M154">
        <v>0.2751498064106071</v>
      </c>
      <c r="N154">
        <v>0.2865623936895621</v>
      </c>
      <c r="O154">
        <v>0.27243209998446372</v>
      </c>
      <c r="P154">
        <v>0.14583877141941912</v>
      </c>
      <c r="Q154" s="21">
        <v>0.1016714480347297</v>
      </c>
      <c r="R154">
        <v>0.10765134860707291</v>
      </c>
      <c r="S154">
        <v>7.9513865406547604E-2</v>
      </c>
      <c r="T154">
        <v>0.49572772147808825</v>
      </c>
      <c r="U154">
        <v>0.46983743635526465</v>
      </c>
      <c r="V154" s="22">
        <v>0.14484199601097558</v>
      </c>
    </row>
    <row r="155" spans="1:22" ht="14.25" thickBot="1">
      <c r="A155">
        <v>779</v>
      </c>
      <c r="B155">
        <v>1992</v>
      </c>
      <c r="C155">
        <v>3.8999999999999998E-3</v>
      </c>
      <c r="D155" s="19" t="s">
        <v>63</v>
      </c>
      <c r="E155">
        <f t="shared" si="6"/>
        <v>0.76730122894238806</v>
      </c>
      <c r="F155">
        <f t="shared" si="7"/>
        <v>0.63632661602559204</v>
      </c>
      <c r="G155">
        <f t="shared" si="8"/>
        <v>0.46425652477472834</v>
      </c>
      <c r="H155" s="20">
        <v>0.75427917053564564</v>
      </c>
      <c r="I155">
        <v>1.1291610831827732</v>
      </c>
      <c r="J155">
        <v>0.51169932545211172</v>
      </c>
      <c r="K155">
        <v>0.76078610195305008</v>
      </c>
      <c r="L155" s="21">
        <v>0.68058046358835989</v>
      </c>
      <c r="M155">
        <v>0.63246432820523524</v>
      </c>
      <c r="N155">
        <v>0.46500297730898937</v>
      </c>
      <c r="O155">
        <v>0.46701588372234093</v>
      </c>
      <c r="P155">
        <v>0.41991973884467376</v>
      </c>
      <c r="Q155" s="21">
        <v>0.5423570874627418</v>
      </c>
      <c r="R155">
        <v>0.14503912048660861</v>
      </c>
      <c r="S155">
        <v>0.17211790307019939</v>
      </c>
      <c r="T155">
        <v>0.13330935225405122</v>
      </c>
      <c r="U155">
        <v>0.11128357138021872</v>
      </c>
      <c r="V155" s="22">
        <v>3.8831764173925656E-2</v>
      </c>
    </row>
    <row r="156" spans="1:22" ht="14.25" thickBot="1">
      <c r="A156">
        <v>780</v>
      </c>
      <c r="B156">
        <v>2010</v>
      </c>
      <c r="C156">
        <v>1.5E-3</v>
      </c>
      <c r="D156" s="19" t="s">
        <v>63</v>
      </c>
      <c r="E156">
        <f t="shared" si="6"/>
        <v>0.86602952049245585</v>
      </c>
      <c r="F156">
        <f t="shared" si="7"/>
        <v>0.64518742759354752</v>
      </c>
      <c r="G156">
        <f t="shared" si="8"/>
        <v>0.61306911108602513</v>
      </c>
      <c r="H156" s="20">
        <v>1.8526003461649672</v>
      </c>
      <c r="I156">
        <v>1.3861097645371943</v>
      </c>
      <c r="J156">
        <v>0.482709250056297</v>
      </c>
      <c r="K156">
        <v>0.23138443961013597</v>
      </c>
      <c r="L156" s="21">
        <v>0.37734380209368495</v>
      </c>
      <c r="M156">
        <v>0.52585190545855132</v>
      </c>
      <c r="N156">
        <v>0.53947075616222817</v>
      </c>
      <c r="O156">
        <v>0.26777342880476651</v>
      </c>
      <c r="P156">
        <v>0.33716520257074317</v>
      </c>
      <c r="Q156" s="21">
        <v>0.45146538047690654</v>
      </c>
      <c r="R156">
        <v>0.45753810590290434</v>
      </c>
      <c r="S156">
        <v>0.44741695119392183</v>
      </c>
      <c r="V156" s="22"/>
    </row>
    <row r="157" spans="1:22" ht="14.25" thickBot="1">
      <c r="A157">
        <v>782</v>
      </c>
      <c r="B157">
        <v>1994</v>
      </c>
      <c r="C157">
        <v>1.1599999999999999E-2</v>
      </c>
      <c r="D157" s="19" t="s">
        <v>63</v>
      </c>
      <c r="E157">
        <f t="shared" si="6"/>
        <v>0.53320492415309828</v>
      </c>
      <c r="F157">
        <f t="shared" si="7"/>
        <v>0.529764374279863</v>
      </c>
      <c r="G157">
        <f t="shared" si="8"/>
        <v>0.40925463376818666</v>
      </c>
      <c r="H157" s="20">
        <v>0.22635432257885568</v>
      </c>
      <c r="I157">
        <v>0.56352871972125251</v>
      </c>
      <c r="J157">
        <v>0.71221327869982753</v>
      </c>
      <c r="K157">
        <v>0.58313470686706204</v>
      </c>
      <c r="L157" s="21">
        <v>0.58079359289849319</v>
      </c>
      <c r="M157">
        <v>0.38258363531916861</v>
      </c>
      <c r="N157">
        <v>7.3472649655329264E-2</v>
      </c>
      <c r="O157">
        <v>1.133348160379783</v>
      </c>
      <c r="P157">
        <v>0.48451646028225359</v>
      </c>
      <c r="Q157" s="21">
        <v>0.55769821639660411</v>
      </c>
      <c r="R157">
        <v>0.11443855750340816</v>
      </c>
      <c r="S157">
        <v>0.28492266478023909</v>
      </c>
      <c r="T157">
        <v>0.17668468993669939</v>
      </c>
      <c r="U157">
        <v>0.16685451605324739</v>
      </c>
      <c r="V157" s="22">
        <v>9.8275335450575638E-2</v>
      </c>
    </row>
    <row r="158" spans="1:22" ht="14.25" thickBot="1">
      <c r="A158">
        <v>783</v>
      </c>
      <c r="B158">
        <v>1987</v>
      </c>
      <c r="C158">
        <v>9.4000000000000004E-3</v>
      </c>
      <c r="D158" s="19" t="s">
        <v>63</v>
      </c>
      <c r="E158">
        <f t="shared" si="6"/>
        <v>0.78138529573011495</v>
      </c>
      <c r="F158">
        <f t="shared" si="7"/>
        <v>0.44977660609384651</v>
      </c>
      <c r="G158">
        <f t="shared" si="8"/>
        <v>0.32730001753060833</v>
      </c>
      <c r="H158" s="20">
        <v>1.606622543589652</v>
      </c>
      <c r="I158">
        <v>0.16267587767408659</v>
      </c>
      <c r="J158">
        <v>0.16910654360642333</v>
      </c>
      <c r="K158">
        <v>0.42129774903265221</v>
      </c>
      <c r="L158" s="21">
        <v>1.5472237647477607</v>
      </c>
      <c r="M158">
        <v>0.2251420211390994</v>
      </c>
      <c r="N158">
        <v>6.0305641754361095E-2</v>
      </c>
      <c r="O158">
        <v>0.1286181364122797</v>
      </c>
      <c r="P158">
        <v>7.7941158951707876E-2</v>
      </c>
      <c r="Q158" s="21">
        <v>9.8832624030441865E-2</v>
      </c>
      <c r="R158">
        <v>7.425333035125202E-2</v>
      </c>
      <c r="S158">
        <v>2.1114341751559011E-2</v>
      </c>
      <c r="T158">
        <v>0.11837081840197645</v>
      </c>
      <c r="U158">
        <v>3.7866937691912704E-2</v>
      </c>
      <c r="V158" s="22">
        <v>0.16012877382396021</v>
      </c>
    </row>
    <row r="159" spans="1:22" ht="14.25" thickBot="1">
      <c r="A159">
        <v>787</v>
      </c>
      <c r="B159">
        <v>1991</v>
      </c>
      <c r="C159">
        <v>2.5999999999999999E-3</v>
      </c>
      <c r="D159" s="19" t="s">
        <v>63</v>
      </c>
      <c r="E159">
        <f t="shared" si="6"/>
        <v>0.5118742149413108</v>
      </c>
      <c r="F159">
        <f t="shared" si="7"/>
        <v>0.31755749588616056</v>
      </c>
      <c r="G159">
        <f t="shared" si="8"/>
        <v>0.23805142799572551</v>
      </c>
      <c r="H159" s="20">
        <v>0.25315765627968206</v>
      </c>
      <c r="I159">
        <v>1.3446782942897986</v>
      </c>
      <c r="J159">
        <v>0.37555108178508417</v>
      </c>
      <c r="K159">
        <v>0.16954590437571382</v>
      </c>
      <c r="L159" s="21">
        <v>0.4164381379762751</v>
      </c>
      <c r="M159">
        <v>0.10065681678155339</v>
      </c>
      <c r="N159">
        <v>0.2090243903725213</v>
      </c>
      <c r="O159">
        <v>6.2985934259047652E-2</v>
      </c>
      <c r="P159">
        <v>0.12335930778963104</v>
      </c>
      <c r="Q159" s="21">
        <v>0.12017743495229798</v>
      </c>
      <c r="R159">
        <v>9.028390244165041E-2</v>
      </c>
      <c r="S159">
        <v>6.6644588186326278E-2</v>
      </c>
      <c r="T159">
        <v>4.3064317073396856E-2</v>
      </c>
      <c r="U159">
        <v>3.1769138641854669E-2</v>
      </c>
      <c r="V159" s="22">
        <v>0.16343451473104897</v>
      </c>
    </row>
    <row r="160" spans="1:22" ht="14.25" thickBot="1">
      <c r="A160">
        <v>788</v>
      </c>
      <c r="B160">
        <v>2018</v>
      </c>
      <c r="C160">
        <v>7.0000000000000001E-3</v>
      </c>
      <c r="D160" s="19" t="s">
        <v>63</v>
      </c>
      <c r="E160">
        <f t="shared" si="6"/>
        <v>0.79599673496242418</v>
      </c>
      <c r="H160" s="20">
        <v>1.3907548082361734</v>
      </c>
      <c r="I160">
        <v>0.5842578332945817</v>
      </c>
      <c r="J160">
        <v>0.90882363199221239</v>
      </c>
      <c r="K160">
        <v>0.30015066632672921</v>
      </c>
      <c r="L160" s="21"/>
      <c r="P160"/>
      <c r="Q160" s="21"/>
      <c r="V160" s="22"/>
    </row>
    <row r="161" spans="1:22" ht="14.25" thickBot="1">
      <c r="A161">
        <v>789</v>
      </c>
      <c r="B161">
        <v>2017</v>
      </c>
      <c r="C161">
        <v>1.0800000000000001E-2</v>
      </c>
      <c r="D161" s="19" t="s">
        <v>63</v>
      </c>
      <c r="E161">
        <f t="shared" si="6"/>
        <v>0.39588172595544024</v>
      </c>
      <c r="H161" s="20">
        <v>1.3374635820755905</v>
      </c>
      <c r="I161">
        <v>0.14626952104091767</v>
      </c>
      <c r="J161">
        <v>0.17711871496257392</v>
      </c>
      <c r="K161">
        <v>0.14384907674779635</v>
      </c>
      <c r="L161" s="21">
        <v>0.17470773495032291</v>
      </c>
      <c r="P161"/>
      <c r="Q161" s="21"/>
      <c r="V161" s="22"/>
    </row>
    <row r="162" spans="1:22" ht="14.25" thickBot="1">
      <c r="A162">
        <v>790</v>
      </c>
      <c r="B162">
        <v>2009</v>
      </c>
      <c r="C162">
        <v>4.1999999999999997E-3</v>
      </c>
      <c r="D162" s="19" t="s">
        <v>63</v>
      </c>
      <c r="E162">
        <f t="shared" si="6"/>
        <v>0.62279563344548583</v>
      </c>
      <c r="F162">
        <f t="shared" si="7"/>
        <v>0.42296512562490685</v>
      </c>
      <c r="G162">
        <f t="shared" si="8"/>
        <v>0.37580191897944082</v>
      </c>
      <c r="H162" s="20">
        <v>1.319648749709502</v>
      </c>
      <c r="I162">
        <v>0.29254658461673122</v>
      </c>
      <c r="J162">
        <v>0.39344026757524264</v>
      </c>
      <c r="K162">
        <v>0.73062391551138361</v>
      </c>
      <c r="L162" s="21">
        <v>0.37771864981456948</v>
      </c>
      <c r="M162">
        <v>0.252815887477018</v>
      </c>
      <c r="N162">
        <v>0.26219476757003851</v>
      </c>
      <c r="O162">
        <v>5.9709333659402293E-2</v>
      </c>
      <c r="P162">
        <v>0.18012400920950269</v>
      </c>
      <c r="Q162" s="21">
        <v>0.3608290911056784</v>
      </c>
      <c r="R162">
        <v>7.7212730806621444E-2</v>
      </c>
      <c r="S162">
        <v>0.19751935752127778</v>
      </c>
      <c r="T162">
        <v>0.3810416021557626</v>
      </c>
      <c r="V162" s="22"/>
    </row>
    <row r="163" spans="1:22" ht="14.25" thickBot="1">
      <c r="A163">
        <v>791</v>
      </c>
      <c r="B163">
        <v>2003</v>
      </c>
      <c r="C163">
        <v>5.3E-3</v>
      </c>
      <c r="D163" s="19" t="s">
        <v>63</v>
      </c>
      <c r="E163">
        <f t="shared" si="6"/>
        <v>0.81736180382388124</v>
      </c>
      <c r="F163">
        <f t="shared" si="7"/>
        <v>0.67090892521555701</v>
      </c>
      <c r="G163">
        <f t="shared" si="8"/>
        <v>0.65014129804666276</v>
      </c>
      <c r="H163" s="20">
        <v>1.9013839930647847</v>
      </c>
      <c r="I163">
        <v>0.54742963349319074</v>
      </c>
      <c r="J163">
        <v>0.5786477236960399</v>
      </c>
      <c r="K163">
        <v>0.66491560827377405</v>
      </c>
      <c r="L163" s="21">
        <v>0.39443206059161667</v>
      </c>
      <c r="M163">
        <v>0.65117091736243171</v>
      </c>
      <c r="N163">
        <v>0.5134203761005478</v>
      </c>
      <c r="O163">
        <v>0.67370929927948009</v>
      </c>
      <c r="P163">
        <v>0.34681072993937484</v>
      </c>
      <c r="Q163" s="21">
        <v>0.43716891035432864</v>
      </c>
      <c r="R163">
        <v>0.60116125478530491</v>
      </c>
      <c r="S163">
        <v>0.88434732495249202</v>
      </c>
      <c r="T163">
        <v>0.70837488520996073</v>
      </c>
      <c r="U163">
        <v>0.43246704431001914</v>
      </c>
      <c r="V163" s="22">
        <v>0.41667970928659398</v>
      </c>
    </row>
    <row r="164" spans="1:22" ht="14.25" thickBot="1">
      <c r="A164">
        <v>794</v>
      </c>
      <c r="B164">
        <v>1991</v>
      </c>
      <c r="C164">
        <v>8.3999999999999995E-3</v>
      </c>
      <c r="D164" s="19" t="s">
        <v>63</v>
      </c>
      <c r="E164">
        <f t="shared" si="6"/>
        <v>0.56928453388090261</v>
      </c>
      <c r="F164">
        <f t="shared" si="7"/>
        <v>0.36933973413757487</v>
      </c>
      <c r="G164">
        <f t="shared" si="8"/>
        <v>0.32317418524434349</v>
      </c>
      <c r="H164" s="20">
        <v>0.8168324832119418</v>
      </c>
      <c r="I164">
        <v>0.83620974395323744</v>
      </c>
      <c r="J164">
        <v>0.36717068634966643</v>
      </c>
      <c r="K164">
        <v>0.52125081506939674</v>
      </c>
      <c r="L164" s="21">
        <v>0.30495894082027047</v>
      </c>
      <c r="M164">
        <v>0.23477493328224516</v>
      </c>
      <c r="N164">
        <v>0.13413438074909972</v>
      </c>
      <c r="O164">
        <v>0.13386549799609745</v>
      </c>
      <c r="P164">
        <v>0.1712801545433528</v>
      </c>
      <c r="Q164" s="21">
        <v>0.17291970540044072</v>
      </c>
      <c r="R164">
        <v>0.41041400348409729</v>
      </c>
      <c r="S164">
        <v>0.26715547256082389</v>
      </c>
      <c r="T164">
        <v>0.34250315242106638</v>
      </c>
      <c r="U164">
        <v>4.2043708344386747E-2</v>
      </c>
      <c r="V164" s="22">
        <v>9.2099100479029819E-2</v>
      </c>
    </row>
    <row r="165" spans="1:22" ht="14.25" thickBot="1">
      <c r="A165">
        <v>797</v>
      </c>
      <c r="B165">
        <v>2011</v>
      </c>
      <c r="C165">
        <v>6.4000000000000003E-3</v>
      </c>
      <c r="D165" s="19" t="s">
        <v>63</v>
      </c>
      <c r="E165">
        <f t="shared" si="6"/>
        <v>1.049022521171983</v>
      </c>
      <c r="F165">
        <f t="shared" si="7"/>
        <v>0.76288329908143582</v>
      </c>
      <c r="H165" s="20">
        <v>1.0797596187113658</v>
      </c>
      <c r="I165">
        <v>1.3787915067687149</v>
      </c>
      <c r="J165">
        <v>6.9635746027852705E-2</v>
      </c>
      <c r="K165">
        <v>1.1001371581141535</v>
      </c>
      <c r="L165" s="21">
        <v>1.616788576237828</v>
      </c>
      <c r="M165">
        <v>0.47837923533732352</v>
      </c>
      <c r="N165">
        <v>0.61354470560495655</v>
      </c>
      <c r="O165">
        <v>0.34542344015281418</v>
      </c>
      <c r="P165">
        <v>0.52873065571461941</v>
      </c>
      <c r="Q165" s="21">
        <v>0.41764234814472984</v>
      </c>
      <c r="R165">
        <v>0.44361109018818773</v>
      </c>
      <c r="V165" s="22"/>
    </row>
    <row r="166" spans="1:22" ht="14.25" thickBot="1">
      <c r="A166">
        <v>798</v>
      </c>
      <c r="B166">
        <v>1998</v>
      </c>
      <c r="C166">
        <v>2.0999999999999999E-3</v>
      </c>
      <c r="D166" s="19" t="s">
        <v>63</v>
      </c>
      <c r="E166">
        <f t="shared" si="6"/>
        <v>0.34992416712286289</v>
      </c>
      <c r="F166">
        <f t="shared" si="7"/>
        <v>0.27467460366354679</v>
      </c>
      <c r="G166">
        <f t="shared" si="8"/>
        <v>0.26044375248751067</v>
      </c>
      <c r="H166" s="20">
        <v>0.44069759803689396</v>
      </c>
      <c r="I166">
        <v>0.30746281794246449</v>
      </c>
      <c r="J166">
        <v>0.31205286011512651</v>
      </c>
      <c r="K166">
        <v>0.35066158786328255</v>
      </c>
      <c r="L166" s="21">
        <v>0.33874597165654702</v>
      </c>
      <c r="M166">
        <v>2.7035942137784458E-2</v>
      </c>
      <c r="N166">
        <v>0.23229377469824392</v>
      </c>
      <c r="O166">
        <v>2.2955770948171583E-2</v>
      </c>
      <c r="P166">
        <v>0.20284634076294186</v>
      </c>
      <c r="Q166" s="21">
        <v>0.51199337247401155</v>
      </c>
      <c r="R166">
        <v>0.15332822085237335</v>
      </c>
      <c r="S166">
        <v>0.31341710355060109</v>
      </c>
      <c r="T166">
        <v>0.18907878027716715</v>
      </c>
      <c r="U166">
        <v>0.14726515314089544</v>
      </c>
      <c r="V166" s="22">
        <v>0.35682099285615493</v>
      </c>
    </row>
    <row r="167" spans="1:22" ht="14.25" thickBot="1">
      <c r="A167">
        <v>804</v>
      </c>
      <c r="B167">
        <v>1997</v>
      </c>
      <c r="C167">
        <v>4.7999999999999996E-3</v>
      </c>
      <c r="D167" s="19" t="s">
        <v>63</v>
      </c>
      <c r="E167">
        <f t="shared" si="6"/>
        <v>0.28609283587639434</v>
      </c>
      <c r="F167">
        <f t="shared" si="7"/>
        <v>0.22148491890832783</v>
      </c>
      <c r="G167">
        <f t="shared" si="8"/>
        <v>0.3228106039118484</v>
      </c>
      <c r="H167" s="25">
        <v>0.2082295345287232</v>
      </c>
      <c r="I167" s="26">
        <v>0.62559080940356737</v>
      </c>
      <c r="J167" s="26">
        <v>0.28104245634467268</v>
      </c>
      <c r="K167" s="26">
        <v>0.13579196437692045</v>
      </c>
      <c r="L167" s="27">
        <v>0.17980941472808804</v>
      </c>
      <c r="M167" s="26">
        <v>0.32412251520132535</v>
      </c>
      <c r="N167" s="26">
        <v>3.4856958483244153E-2</v>
      </c>
      <c r="O167" s="26">
        <v>0.16727020748482127</v>
      </c>
      <c r="P167" s="26">
        <v>6.0645859229567271E-2</v>
      </c>
      <c r="Q167" s="27">
        <v>0.19748946930234873</v>
      </c>
      <c r="R167" s="26">
        <v>0.49850150494884798</v>
      </c>
      <c r="S167" s="26">
        <v>0.42751877372340891</v>
      </c>
      <c r="T167" s="26">
        <v>0.41909599842262024</v>
      </c>
      <c r="U167" s="26">
        <v>0.53778474763615602</v>
      </c>
      <c r="V167" s="28">
        <v>0.74440884486341496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4957-89BB-4C3C-939D-154F262F4939}">
  <dimension ref="A1:T218"/>
  <sheetViews>
    <sheetView tabSelected="1" workbookViewId="0">
      <selection activeCell="O37" sqref="O37"/>
    </sheetView>
  </sheetViews>
  <sheetFormatPr defaultRowHeight="13.5"/>
  <cols>
    <col min="1" max="6" width="9" style="49"/>
    <col min="7" max="7" width="10.25" style="49" customWidth="1"/>
    <col min="8" max="8" width="9" style="49"/>
    <col min="9" max="9" width="41.5" style="53" customWidth="1"/>
    <col min="10" max="10" width="48.125" style="4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9" t="s">
        <v>88</v>
      </c>
      <c r="H1" s="1" t="s">
        <v>153</v>
      </c>
      <c r="I1" s="50" t="s">
        <v>152</v>
      </c>
      <c r="K1" t="s">
        <v>319</v>
      </c>
      <c r="M1" t="s">
        <v>325</v>
      </c>
    </row>
    <row r="2" spans="1:15">
      <c r="A2" s="51">
        <v>12</v>
      </c>
      <c r="B2" s="51" t="s">
        <v>10</v>
      </c>
      <c r="C2" s="51">
        <v>1</v>
      </c>
      <c r="D2" s="51" t="s">
        <v>11</v>
      </c>
      <c r="E2" s="51">
        <v>14.8024</v>
      </c>
      <c r="F2" s="51">
        <v>-83.797899999999998</v>
      </c>
      <c r="G2" s="51">
        <v>200</v>
      </c>
      <c r="H2" s="51">
        <v>1998</v>
      </c>
      <c r="I2" s="64" t="s">
        <v>280</v>
      </c>
      <c r="J2" s="49" t="s">
        <v>297</v>
      </c>
      <c r="M2" t="s">
        <v>326</v>
      </c>
    </row>
    <row r="3" spans="1:15">
      <c r="A3" s="51">
        <v>15</v>
      </c>
      <c r="B3" s="51" t="s">
        <v>12</v>
      </c>
      <c r="C3" s="51">
        <v>0</v>
      </c>
      <c r="D3" s="51" t="s">
        <v>11</v>
      </c>
      <c r="E3" s="51">
        <v>14.7577</v>
      </c>
      <c r="F3" s="51">
        <v>-83.914199999999994</v>
      </c>
      <c r="G3" s="51">
        <v>210</v>
      </c>
      <c r="H3" s="51">
        <v>2002</v>
      </c>
      <c r="I3" s="64"/>
      <c r="M3">
        <v>2015</v>
      </c>
    </row>
    <row r="4" spans="1:15" ht="13.5" customHeight="1">
      <c r="A4" s="51">
        <v>42</v>
      </c>
      <c r="B4" s="51" t="s">
        <v>10</v>
      </c>
      <c r="C4" s="51">
        <v>1</v>
      </c>
      <c r="D4" s="51" t="s">
        <v>13</v>
      </c>
      <c r="E4" s="51">
        <v>-25.781400000000001</v>
      </c>
      <c r="F4" s="51">
        <v>-59.921100000000003</v>
      </c>
      <c r="G4" s="51">
        <v>200</v>
      </c>
      <c r="H4" s="51">
        <v>2003</v>
      </c>
      <c r="I4" s="64"/>
      <c r="J4" s="49" t="s">
        <v>296</v>
      </c>
      <c r="M4" t="s">
        <v>327</v>
      </c>
    </row>
    <row r="5" spans="1:15">
      <c r="A5" s="51">
        <v>44</v>
      </c>
      <c r="B5" s="51" t="s">
        <v>12</v>
      </c>
      <c r="C5" s="51">
        <v>0</v>
      </c>
      <c r="D5" s="51" t="s">
        <v>13</v>
      </c>
      <c r="E5" s="51">
        <v>-25.848500000000001</v>
      </c>
      <c r="F5" s="51">
        <v>-59.871200000000002</v>
      </c>
      <c r="G5" s="51">
        <v>200</v>
      </c>
      <c r="H5" s="51">
        <v>2000</v>
      </c>
      <c r="I5" s="64"/>
      <c r="M5" t="s">
        <v>327</v>
      </c>
    </row>
    <row r="6" spans="1:15">
      <c r="A6" s="51">
        <v>45</v>
      </c>
      <c r="B6" s="51" t="s">
        <v>10</v>
      </c>
      <c r="C6" s="51">
        <v>1</v>
      </c>
      <c r="D6" s="51" t="s">
        <v>13</v>
      </c>
      <c r="E6" s="51">
        <v>-25.7714</v>
      </c>
      <c r="F6" s="51">
        <v>-59.941000000000003</v>
      </c>
      <c r="G6" s="51">
        <v>200</v>
      </c>
      <c r="H6" s="51">
        <v>2002</v>
      </c>
      <c r="I6" s="64"/>
      <c r="J6" s="49" t="s">
        <v>295</v>
      </c>
      <c r="M6" t="s">
        <v>326</v>
      </c>
    </row>
    <row r="7" spans="1:15">
      <c r="A7" s="51">
        <v>48</v>
      </c>
      <c r="B7" s="51" t="s">
        <v>10</v>
      </c>
      <c r="C7" s="51">
        <v>1</v>
      </c>
      <c r="D7" s="51" t="s">
        <v>13</v>
      </c>
      <c r="E7" s="51">
        <v>-25.735900000000001</v>
      </c>
      <c r="F7" s="51">
        <v>-59.991799999999998</v>
      </c>
      <c r="G7" s="51">
        <v>200</v>
      </c>
      <c r="H7" s="51">
        <v>2019</v>
      </c>
      <c r="I7" s="64"/>
      <c r="J7" s="49" t="s">
        <v>298</v>
      </c>
      <c r="M7">
        <v>2020</v>
      </c>
    </row>
    <row r="8" spans="1:15">
      <c r="A8" s="51">
        <v>52</v>
      </c>
      <c r="B8" s="51" t="s">
        <v>10</v>
      </c>
      <c r="C8" s="51">
        <v>1</v>
      </c>
      <c r="D8" s="51" t="s">
        <v>13</v>
      </c>
      <c r="E8" s="51">
        <v>-25.686499999999999</v>
      </c>
      <c r="F8" s="51">
        <v>-60.040599999999998</v>
      </c>
      <c r="G8" s="52">
        <v>200</v>
      </c>
      <c r="H8" s="52">
        <v>2010</v>
      </c>
      <c r="I8" s="64"/>
      <c r="J8" s="49" t="s">
        <v>299</v>
      </c>
      <c r="M8" t="s">
        <v>327</v>
      </c>
    </row>
    <row r="9" spans="1:15">
      <c r="A9" s="51">
        <v>54</v>
      </c>
      <c r="B9" s="51" t="s">
        <v>10</v>
      </c>
      <c r="C9" s="51">
        <v>1</v>
      </c>
      <c r="D9" s="51" t="s">
        <v>13</v>
      </c>
      <c r="E9" s="51">
        <v>-25.665800000000001</v>
      </c>
      <c r="F9" s="51">
        <v>-60.099800000000002</v>
      </c>
      <c r="G9" s="51">
        <v>200</v>
      </c>
      <c r="H9" s="51">
        <v>2018</v>
      </c>
      <c r="I9" s="64"/>
      <c r="J9" s="49" t="s">
        <v>300</v>
      </c>
      <c r="M9">
        <v>2019</v>
      </c>
    </row>
    <row r="10" spans="1:15">
      <c r="A10" s="51">
        <v>56</v>
      </c>
      <c r="B10" s="51" t="s">
        <v>10</v>
      </c>
      <c r="C10" s="51">
        <v>1</v>
      </c>
      <c r="D10" s="51" t="s">
        <v>13</v>
      </c>
      <c r="E10" s="51">
        <v>-25.7606</v>
      </c>
      <c r="F10" s="51">
        <v>-59.968699999999998</v>
      </c>
      <c r="G10" s="51">
        <v>200</v>
      </c>
      <c r="H10" s="51">
        <v>1997</v>
      </c>
      <c r="I10" s="64"/>
      <c r="J10" s="49" t="s">
        <v>301</v>
      </c>
      <c r="M10" t="s">
        <v>327</v>
      </c>
      <c r="O10" t="s">
        <v>328</v>
      </c>
    </row>
    <row r="11" spans="1:15">
      <c r="A11" s="51">
        <v>76</v>
      </c>
      <c r="B11" s="51" t="s">
        <v>12</v>
      </c>
      <c r="C11" s="51">
        <v>0</v>
      </c>
      <c r="D11" s="51" t="s">
        <v>15</v>
      </c>
      <c r="E11" s="51">
        <v>46.266500000000001</v>
      </c>
      <c r="F11" s="51">
        <v>-106.771</v>
      </c>
      <c r="G11" s="51">
        <v>200</v>
      </c>
      <c r="H11" s="51">
        <v>1997</v>
      </c>
      <c r="I11" s="64"/>
      <c r="J11" s="49" t="s">
        <v>302</v>
      </c>
      <c r="M11" t="s">
        <v>326</v>
      </c>
    </row>
    <row r="12" spans="1:15">
      <c r="A12" s="51">
        <v>87</v>
      </c>
      <c r="B12" s="51" t="s">
        <v>10</v>
      </c>
      <c r="C12" s="51">
        <v>1</v>
      </c>
      <c r="D12" s="51" t="s">
        <v>16</v>
      </c>
      <c r="E12" s="51">
        <v>34.696899999999999</v>
      </c>
      <c r="F12" s="51">
        <v>-91.343800000000002</v>
      </c>
      <c r="G12" s="51">
        <v>200</v>
      </c>
      <c r="H12" s="51">
        <v>2005</v>
      </c>
      <c r="I12" s="64"/>
      <c r="J12" s="49" t="s">
        <v>295</v>
      </c>
      <c r="M12" t="s">
        <v>326</v>
      </c>
    </row>
    <row r="13" spans="1:15">
      <c r="A13" s="51">
        <v>114</v>
      </c>
      <c r="B13" s="51" t="s">
        <v>12</v>
      </c>
      <c r="C13" s="51">
        <v>0</v>
      </c>
      <c r="D13" s="51" t="s">
        <v>17</v>
      </c>
      <c r="E13" s="51">
        <v>33.180199999999999</v>
      </c>
      <c r="F13" s="51">
        <v>-93.757000000000005</v>
      </c>
      <c r="G13" s="51">
        <v>200</v>
      </c>
      <c r="H13" s="51">
        <v>1986</v>
      </c>
      <c r="I13" s="64"/>
      <c r="J13" s="49" t="s">
        <v>303</v>
      </c>
      <c r="M13" t="s">
        <v>326</v>
      </c>
    </row>
    <row r="14" spans="1:15">
      <c r="A14" s="51">
        <v>128</v>
      </c>
      <c r="B14" s="51" t="s">
        <v>12</v>
      </c>
      <c r="C14" s="51">
        <v>0</v>
      </c>
      <c r="D14" s="51" t="s">
        <v>17</v>
      </c>
      <c r="E14" s="51">
        <v>34.1066</v>
      </c>
      <c r="F14" s="51">
        <v>-98.416499999999999</v>
      </c>
      <c r="G14" s="51">
        <v>200</v>
      </c>
      <c r="H14" s="51">
        <v>1996</v>
      </c>
      <c r="I14" s="64"/>
      <c r="J14" s="49" t="s">
        <v>304</v>
      </c>
      <c r="M14" t="s">
        <v>327</v>
      </c>
      <c r="O14" t="s">
        <v>329</v>
      </c>
    </row>
    <row r="15" spans="1:15">
      <c r="A15" s="51">
        <v>129</v>
      </c>
      <c r="B15" s="51" t="s">
        <v>12</v>
      </c>
      <c r="C15" s="51">
        <v>0</v>
      </c>
      <c r="D15" s="51" t="s">
        <v>20</v>
      </c>
      <c r="E15" s="51">
        <v>39.161900000000003</v>
      </c>
      <c r="F15" s="51">
        <v>-96.363299999999995</v>
      </c>
      <c r="G15" s="51">
        <v>260</v>
      </c>
      <c r="H15" s="51">
        <v>1993</v>
      </c>
      <c r="I15" s="64"/>
      <c r="J15" s="49" t="s">
        <v>305</v>
      </c>
      <c r="M15" t="s">
        <v>326</v>
      </c>
    </row>
    <row r="16" spans="1:15">
      <c r="A16" s="51">
        <v>137</v>
      </c>
      <c r="B16" s="51" t="s">
        <v>10</v>
      </c>
      <c r="C16" s="51">
        <v>1</v>
      </c>
      <c r="D16" s="51" t="s">
        <v>16</v>
      </c>
      <c r="E16" s="51">
        <v>34.770299999999999</v>
      </c>
      <c r="F16" s="51">
        <v>-91.414400000000001</v>
      </c>
      <c r="G16" s="51">
        <v>200</v>
      </c>
      <c r="H16" s="51">
        <v>2015</v>
      </c>
      <c r="I16" s="64"/>
      <c r="J16" s="49" t="s">
        <v>306</v>
      </c>
      <c r="M16" t="s">
        <v>326</v>
      </c>
    </row>
    <row r="17" spans="1:13">
      <c r="A17" s="51">
        <v>160</v>
      </c>
      <c r="B17" s="51" t="s">
        <v>12</v>
      </c>
      <c r="C17" s="51">
        <v>0</v>
      </c>
      <c r="D17" s="51" t="s">
        <v>22</v>
      </c>
      <c r="E17" s="51">
        <v>26.207000000000001</v>
      </c>
      <c r="F17" s="51">
        <v>68.005300000000005</v>
      </c>
      <c r="G17" s="51">
        <v>600</v>
      </c>
      <c r="H17" s="51">
        <v>1993</v>
      </c>
      <c r="I17" s="64"/>
      <c r="J17" s="49" t="s">
        <v>307</v>
      </c>
      <c r="M17" t="s">
        <v>327</v>
      </c>
    </row>
    <row r="18" spans="1:13">
      <c r="A18" s="51">
        <v>163</v>
      </c>
      <c r="B18" s="51" t="s">
        <v>10</v>
      </c>
      <c r="C18" s="51">
        <v>1</v>
      </c>
      <c r="D18" s="51" t="s">
        <v>23</v>
      </c>
      <c r="E18" s="51">
        <v>-5.6904700000000004</v>
      </c>
      <c r="F18" s="51">
        <v>145.33600000000001</v>
      </c>
      <c r="G18" s="51">
        <v>240</v>
      </c>
      <c r="H18" s="51">
        <v>2012</v>
      </c>
      <c r="I18" s="64"/>
      <c r="J18" s="49" t="s">
        <v>308</v>
      </c>
      <c r="M18">
        <v>2014</v>
      </c>
    </row>
    <row r="19" spans="1:13">
      <c r="A19" s="51">
        <v>164</v>
      </c>
      <c r="B19" s="51" t="s">
        <v>10</v>
      </c>
      <c r="C19" s="51">
        <v>1</v>
      </c>
      <c r="D19" s="51" t="s">
        <v>23</v>
      </c>
      <c r="E19" s="51">
        <v>-5.3169700000000004</v>
      </c>
      <c r="F19" s="51">
        <v>145.001</v>
      </c>
      <c r="G19" s="51">
        <v>200</v>
      </c>
      <c r="H19" s="51">
        <v>2012</v>
      </c>
      <c r="I19" s="64"/>
      <c r="J19" s="49" t="s">
        <v>309</v>
      </c>
      <c r="M19" t="s">
        <v>326</v>
      </c>
    </row>
    <row r="20" spans="1:13">
      <c r="A20" s="51">
        <v>165</v>
      </c>
      <c r="B20" s="51" t="s">
        <v>10</v>
      </c>
      <c r="C20" s="51">
        <v>1</v>
      </c>
      <c r="D20" s="51" t="s">
        <v>23</v>
      </c>
      <c r="E20" s="51">
        <v>-5.2643599999999999</v>
      </c>
      <c r="F20" s="51">
        <v>144.94</v>
      </c>
      <c r="G20" s="51">
        <v>200</v>
      </c>
      <c r="H20" s="51">
        <v>2011</v>
      </c>
      <c r="I20" s="64"/>
      <c r="J20" s="49" t="s">
        <v>310</v>
      </c>
      <c r="M20">
        <v>2025</v>
      </c>
    </row>
    <row r="21" spans="1:13">
      <c r="A21" s="51">
        <v>167</v>
      </c>
      <c r="B21" s="51" t="s">
        <v>12</v>
      </c>
      <c r="C21" s="51">
        <v>0</v>
      </c>
      <c r="D21" s="51" t="s">
        <v>23</v>
      </c>
      <c r="E21" s="51">
        <v>-5.0383599999999999</v>
      </c>
      <c r="F21" s="51">
        <v>144.697</v>
      </c>
      <c r="G21" s="51">
        <v>260</v>
      </c>
      <c r="H21" s="51">
        <v>2013</v>
      </c>
      <c r="I21" s="64"/>
      <c r="J21" s="49" t="s">
        <v>311</v>
      </c>
      <c r="M21" t="s">
        <v>327</v>
      </c>
    </row>
    <row r="22" spans="1:13">
      <c r="A22" s="51">
        <v>202</v>
      </c>
      <c r="B22" s="51" t="s">
        <v>12</v>
      </c>
      <c r="C22" s="51">
        <v>0</v>
      </c>
      <c r="D22" s="51" t="s">
        <v>24</v>
      </c>
      <c r="E22" s="51">
        <v>17.776399999999999</v>
      </c>
      <c r="F22" s="51">
        <v>121.715</v>
      </c>
      <c r="G22" s="51">
        <v>400</v>
      </c>
      <c r="H22" s="51">
        <v>1989</v>
      </c>
      <c r="I22" s="64"/>
      <c r="J22" s="49" t="s">
        <v>301</v>
      </c>
      <c r="M22" t="s">
        <v>326</v>
      </c>
    </row>
    <row r="23" spans="1:13">
      <c r="A23" s="51">
        <v>205</v>
      </c>
      <c r="B23" s="51" t="s">
        <v>12</v>
      </c>
      <c r="C23" s="51">
        <v>0</v>
      </c>
      <c r="D23" s="51" t="s">
        <v>25</v>
      </c>
      <c r="E23" s="51">
        <v>-2.2473000000000001</v>
      </c>
      <c r="F23" s="51">
        <v>132.67500000000001</v>
      </c>
      <c r="G23" s="51">
        <v>200</v>
      </c>
      <c r="H23" s="51">
        <v>2011</v>
      </c>
      <c r="I23" s="64"/>
      <c r="J23" s="49" t="s">
        <v>312</v>
      </c>
      <c r="M23" t="s">
        <v>326</v>
      </c>
    </row>
    <row r="24" spans="1:13">
      <c r="A24" s="51">
        <v>207</v>
      </c>
      <c r="B24" s="51" t="s">
        <v>10</v>
      </c>
      <c r="C24" s="51">
        <v>1</v>
      </c>
      <c r="D24" s="51" t="s">
        <v>26</v>
      </c>
      <c r="E24" s="51">
        <v>-2.2655099999999999</v>
      </c>
      <c r="F24" s="51">
        <v>132.96100000000001</v>
      </c>
      <c r="G24" s="51">
        <v>260</v>
      </c>
      <c r="H24" s="51">
        <v>2002</v>
      </c>
      <c r="I24" s="64"/>
      <c r="J24" s="49" t="s">
        <v>295</v>
      </c>
      <c r="M24" t="s">
        <v>326</v>
      </c>
    </row>
    <row r="25" spans="1:13">
      <c r="A25" s="51">
        <v>208</v>
      </c>
      <c r="B25" s="51" t="s">
        <v>12</v>
      </c>
      <c r="C25" s="51">
        <v>0</v>
      </c>
      <c r="D25" s="51" t="s">
        <v>26</v>
      </c>
      <c r="E25" s="51">
        <v>-2.2280000000000002</v>
      </c>
      <c r="F25" s="51">
        <v>132.97900000000001</v>
      </c>
      <c r="G25" s="51">
        <v>200</v>
      </c>
      <c r="H25" s="51">
        <v>1999</v>
      </c>
      <c r="I25" s="64"/>
      <c r="J25" s="49" t="s">
        <v>301</v>
      </c>
      <c r="M25" t="s">
        <v>326</v>
      </c>
    </row>
    <row r="26" spans="1:13">
      <c r="A26" s="51">
        <v>209</v>
      </c>
      <c r="B26" s="51" t="s">
        <v>10</v>
      </c>
      <c r="C26" s="51">
        <v>1</v>
      </c>
      <c r="D26" s="51" t="s">
        <v>26</v>
      </c>
      <c r="E26" s="51">
        <v>-2.1135700000000002</v>
      </c>
      <c r="F26" s="51">
        <v>133.05500000000001</v>
      </c>
      <c r="G26" s="51">
        <v>200</v>
      </c>
      <c r="H26" s="51">
        <v>2004</v>
      </c>
      <c r="I26" s="64"/>
      <c r="J26" s="49" t="s">
        <v>314</v>
      </c>
      <c r="M26" t="s">
        <v>327</v>
      </c>
    </row>
    <row r="27" spans="1:13">
      <c r="A27" s="51">
        <v>229</v>
      </c>
      <c r="B27" s="51" t="s">
        <v>12</v>
      </c>
      <c r="C27" s="51">
        <v>0</v>
      </c>
      <c r="D27" s="51" t="s">
        <v>27</v>
      </c>
      <c r="E27" s="51">
        <v>-3.5159099999999999</v>
      </c>
      <c r="F27" s="51">
        <v>139.49</v>
      </c>
      <c r="G27" s="51">
        <v>400</v>
      </c>
      <c r="H27" s="51">
        <v>2017</v>
      </c>
      <c r="I27" s="64"/>
      <c r="J27" s="49" t="s">
        <v>313</v>
      </c>
      <c r="M27" t="s">
        <v>327</v>
      </c>
    </row>
    <row r="28" spans="1:13">
      <c r="A28" s="51">
        <v>230</v>
      </c>
      <c r="B28" s="51" t="s">
        <v>12</v>
      </c>
      <c r="C28" s="51">
        <v>0</v>
      </c>
      <c r="D28" s="51" t="s">
        <v>27</v>
      </c>
      <c r="E28" s="51">
        <v>-3.5320800000000001</v>
      </c>
      <c r="F28" s="51">
        <v>139.52000000000001</v>
      </c>
      <c r="G28" s="51">
        <v>400</v>
      </c>
      <c r="H28" s="51">
        <v>1994</v>
      </c>
      <c r="I28" s="64"/>
      <c r="J28" s="49" t="s">
        <v>315</v>
      </c>
      <c r="M28">
        <v>2009</v>
      </c>
    </row>
    <row r="29" spans="1:13">
      <c r="A29" s="51">
        <v>231</v>
      </c>
      <c r="B29" s="51" t="s">
        <v>10</v>
      </c>
      <c r="C29" s="51">
        <v>1</v>
      </c>
      <c r="D29" s="51" t="s">
        <v>27</v>
      </c>
      <c r="E29" s="51">
        <v>-3.5467</v>
      </c>
      <c r="F29" s="51">
        <v>139.738</v>
      </c>
      <c r="G29" s="51">
        <v>400</v>
      </c>
      <c r="H29" s="51">
        <v>2008</v>
      </c>
      <c r="I29" s="64"/>
      <c r="J29" s="49" t="s">
        <v>316</v>
      </c>
      <c r="M29">
        <v>2012</v>
      </c>
    </row>
    <row r="30" spans="1:13">
      <c r="A30" s="51">
        <v>237</v>
      </c>
      <c r="B30" s="51" t="s">
        <v>12</v>
      </c>
      <c r="C30" s="51">
        <v>0</v>
      </c>
      <c r="D30" s="51" t="s">
        <v>30</v>
      </c>
      <c r="E30" s="51">
        <v>-3.05125</v>
      </c>
      <c r="F30" s="51">
        <v>137.761</v>
      </c>
      <c r="G30" s="51">
        <v>380</v>
      </c>
      <c r="H30" s="51">
        <v>1992</v>
      </c>
      <c r="I30" s="64"/>
      <c r="J30" s="49" t="s">
        <v>317</v>
      </c>
      <c r="M30" t="s">
        <v>327</v>
      </c>
    </row>
    <row r="31" spans="1:13">
      <c r="A31" s="51">
        <v>257</v>
      </c>
      <c r="B31" s="51" t="s">
        <v>10</v>
      </c>
      <c r="C31" s="51">
        <v>1</v>
      </c>
      <c r="D31" s="51" t="s">
        <v>31</v>
      </c>
      <c r="E31" s="51">
        <v>-6.0896999999999997</v>
      </c>
      <c r="F31" s="51">
        <v>141.126</v>
      </c>
      <c r="G31" s="51">
        <v>220</v>
      </c>
      <c r="H31" s="51">
        <v>1994</v>
      </c>
      <c r="I31" s="64"/>
      <c r="J31" s="49" t="s">
        <v>318</v>
      </c>
      <c r="M31" t="s">
        <v>326</v>
      </c>
    </row>
    <row r="32" spans="1:13">
      <c r="A32" s="51">
        <v>261</v>
      </c>
      <c r="B32" s="51" t="s">
        <v>10</v>
      </c>
      <c r="C32" s="51">
        <v>1</v>
      </c>
      <c r="D32" s="51" t="s">
        <v>31</v>
      </c>
      <c r="E32" s="51">
        <v>-6.4696699999999998</v>
      </c>
      <c r="F32" s="51">
        <v>140.94499999999999</v>
      </c>
      <c r="G32" s="51">
        <v>260</v>
      </c>
      <c r="H32" s="51">
        <v>2001</v>
      </c>
      <c r="I32" s="64"/>
      <c r="J32" s="49" t="s">
        <v>320</v>
      </c>
      <c r="M32" t="s">
        <v>326</v>
      </c>
    </row>
    <row r="33" spans="1:13">
      <c r="A33" s="51">
        <v>265</v>
      </c>
      <c r="B33" s="51" t="s">
        <v>12</v>
      </c>
      <c r="C33" s="51">
        <v>0</v>
      </c>
      <c r="D33" s="51" t="s">
        <v>31</v>
      </c>
      <c r="E33" s="51">
        <v>-6.3140099999999997</v>
      </c>
      <c r="F33" s="51">
        <v>141.01900000000001</v>
      </c>
      <c r="G33" s="51">
        <v>340</v>
      </c>
      <c r="H33" s="51">
        <v>2011</v>
      </c>
      <c r="I33" s="64"/>
      <c r="J33" s="49" t="s">
        <v>321</v>
      </c>
      <c r="M33" t="s">
        <v>326</v>
      </c>
    </row>
    <row r="34" spans="1:13">
      <c r="A34" s="51">
        <v>284</v>
      </c>
      <c r="B34" s="51" t="s">
        <v>10</v>
      </c>
      <c r="C34" s="51">
        <v>1</v>
      </c>
      <c r="D34" s="51" t="s">
        <v>32</v>
      </c>
      <c r="E34" s="51">
        <v>-4.2135100000000003</v>
      </c>
      <c r="F34" s="51">
        <v>142.60400000000001</v>
      </c>
      <c r="G34" s="51">
        <v>340</v>
      </c>
      <c r="H34" s="51">
        <v>2011</v>
      </c>
      <c r="I34" s="64"/>
      <c r="J34" s="49" t="s">
        <v>322</v>
      </c>
      <c r="M34" t="s">
        <v>327</v>
      </c>
    </row>
    <row r="35" spans="1:13">
      <c r="A35" s="51">
        <v>289</v>
      </c>
      <c r="B35" s="51" t="s">
        <v>10</v>
      </c>
      <c r="C35" s="51">
        <v>1</v>
      </c>
      <c r="D35" s="51" t="s">
        <v>32</v>
      </c>
      <c r="E35" s="51">
        <v>-4.2914500000000002</v>
      </c>
      <c r="F35" s="51">
        <v>142.05600000000001</v>
      </c>
      <c r="G35" s="51">
        <v>340</v>
      </c>
      <c r="H35" s="51">
        <v>2012</v>
      </c>
      <c r="I35" s="64"/>
      <c r="J35" s="49" t="s">
        <v>323</v>
      </c>
      <c r="M35" t="s">
        <v>326</v>
      </c>
    </row>
    <row r="36" spans="1:13">
      <c r="A36" s="51">
        <v>290</v>
      </c>
      <c r="B36" s="51" t="s">
        <v>10</v>
      </c>
      <c r="C36" s="51">
        <v>1</v>
      </c>
      <c r="D36" s="51" t="s">
        <v>32</v>
      </c>
      <c r="E36" s="51">
        <v>-4.3035500000000004</v>
      </c>
      <c r="F36" s="51">
        <v>141.98400000000001</v>
      </c>
      <c r="G36" s="51">
        <v>340</v>
      </c>
      <c r="H36" s="51">
        <v>2007</v>
      </c>
      <c r="I36" s="64"/>
      <c r="J36" s="49" t="s">
        <v>324</v>
      </c>
      <c r="M36">
        <v>2012</v>
      </c>
    </row>
    <row r="37" spans="1:13">
      <c r="A37" s="51">
        <v>291</v>
      </c>
      <c r="B37" s="51" t="s">
        <v>12</v>
      </c>
      <c r="C37" s="51">
        <v>0</v>
      </c>
      <c r="D37" s="51" t="s">
        <v>32</v>
      </c>
      <c r="E37" s="51">
        <v>-4.1952699999999998</v>
      </c>
      <c r="F37" s="51">
        <v>141.89599999999999</v>
      </c>
      <c r="G37" s="51">
        <v>240</v>
      </c>
      <c r="H37" s="51">
        <v>2008</v>
      </c>
      <c r="I37" s="64"/>
      <c r="M37" t="s">
        <v>327</v>
      </c>
    </row>
    <row r="38" spans="1:13">
      <c r="A38" s="51">
        <v>292</v>
      </c>
      <c r="B38" s="51" t="s">
        <v>10</v>
      </c>
      <c r="C38" s="51">
        <v>1</v>
      </c>
      <c r="D38" s="51" t="s">
        <v>32</v>
      </c>
      <c r="E38" s="51">
        <v>-4.16296</v>
      </c>
      <c r="F38" s="51">
        <v>141.90799999999999</v>
      </c>
      <c r="G38" s="51">
        <v>240</v>
      </c>
      <c r="H38" s="51">
        <v>1989</v>
      </c>
      <c r="I38" s="64"/>
      <c r="M38" t="s">
        <v>327</v>
      </c>
    </row>
    <row r="39" spans="1:13">
      <c r="A39" s="51">
        <v>293</v>
      </c>
      <c r="B39" s="51" t="s">
        <v>10</v>
      </c>
      <c r="C39" s="51">
        <v>1</v>
      </c>
      <c r="D39" s="51" t="s">
        <v>32</v>
      </c>
      <c r="E39" s="51">
        <v>-4.0747999999999998</v>
      </c>
      <c r="F39" s="51">
        <v>141.81200000000001</v>
      </c>
      <c r="G39" s="51">
        <v>280</v>
      </c>
      <c r="H39" s="51">
        <v>2002</v>
      </c>
      <c r="I39" s="64"/>
      <c r="M39" t="s">
        <v>327</v>
      </c>
    </row>
    <row r="40" spans="1:13">
      <c r="A40" s="51">
        <v>294</v>
      </c>
      <c r="B40" s="51" t="s">
        <v>10</v>
      </c>
      <c r="C40" s="51">
        <v>1</v>
      </c>
      <c r="D40" s="51" t="s">
        <v>32</v>
      </c>
      <c r="E40" s="51">
        <v>-4.0497399999999999</v>
      </c>
      <c r="F40" s="51">
        <v>141.80000000000001</v>
      </c>
      <c r="G40" s="51">
        <v>280</v>
      </c>
      <c r="H40" s="51">
        <v>1987</v>
      </c>
      <c r="I40" s="64"/>
      <c r="M40" t="s">
        <v>327</v>
      </c>
    </row>
    <row r="41" spans="1:13">
      <c r="A41" s="51">
        <v>295</v>
      </c>
      <c r="B41" s="51" t="s">
        <v>10</v>
      </c>
      <c r="C41" s="51">
        <v>1</v>
      </c>
      <c r="D41" s="51" t="s">
        <v>32</v>
      </c>
      <c r="E41" s="51">
        <v>-4.0082700000000004</v>
      </c>
      <c r="F41" s="51">
        <v>141.73400000000001</v>
      </c>
      <c r="G41" s="51">
        <v>280</v>
      </c>
      <c r="H41" s="51">
        <v>1994</v>
      </c>
      <c r="I41" s="64"/>
      <c r="M41" t="s">
        <v>327</v>
      </c>
    </row>
    <row r="42" spans="1:13">
      <c r="A42" s="51">
        <v>296</v>
      </c>
      <c r="B42" s="51" t="s">
        <v>10</v>
      </c>
      <c r="C42" s="51">
        <v>1</v>
      </c>
      <c r="D42" s="51" t="s">
        <v>32</v>
      </c>
      <c r="E42" s="51">
        <v>-4.0300099999999999</v>
      </c>
      <c r="F42" s="51">
        <v>141.76499999999999</v>
      </c>
      <c r="G42" s="51">
        <v>280</v>
      </c>
      <c r="H42" s="51">
        <v>2006</v>
      </c>
      <c r="I42" s="64"/>
      <c r="M42" t="s">
        <v>327</v>
      </c>
    </row>
    <row r="43" spans="1:13">
      <c r="A43" s="51">
        <v>297</v>
      </c>
      <c r="B43" s="51" t="s">
        <v>10</v>
      </c>
      <c r="C43" s="51">
        <v>1</v>
      </c>
      <c r="D43" s="51" t="s">
        <v>32</v>
      </c>
      <c r="E43" s="51">
        <v>-3.9820099999999998</v>
      </c>
      <c r="F43" s="51">
        <v>141.583</v>
      </c>
      <c r="G43" s="51">
        <v>260</v>
      </c>
      <c r="H43" s="51">
        <v>2014</v>
      </c>
      <c r="I43" s="64"/>
      <c r="M43" t="s">
        <v>327</v>
      </c>
    </row>
    <row r="44" spans="1:13">
      <c r="A44" s="51">
        <v>298</v>
      </c>
      <c r="B44" s="51" t="s">
        <v>12</v>
      </c>
      <c r="C44" s="51">
        <v>0</v>
      </c>
      <c r="D44" s="51" t="s">
        <v>32</v>
      </c>
      <c r="E44" s="51">
        <v>-3.9860699999999998</v>
      </c>
      <c r="F44" s="51">
        <v>141.43299999999999</v>
      </c>
      <c r="G44" s="51">
        <v>260</v>
      </c>
      <c r="H44" s="51">
        <v>2007</v>
      </c>
      <c r="I44" s="64"/>
      <c r="M44" t="s">
        <v>327</v>
      </c>
    </row>
    <row r="45" spans="1:13">
      <c r="A45" s="51">
        <v>299</v>
      </c>
      <c r="B45" s="51" t="s">
        <v>12</v>
      </c>
      <c r="C45" s="51">
        <v>0</v>
      </c>
      <c r="D45" s="51" t="s">
        <v>32</v>
      </c>
      <c r="E45" s="51">
        <v>-3.9363199999999998</v>
      </c>
      <c r="F45" s="51">
        <v>141.37700000000001</v>
      </c>
      <c r="G45" s="51">
        <v>260</v>
      </c>
      <c r="H45" s="51">
        <v>2003</v>
      </c>
      <c r="I45" s="64"/>
      <c r="M45" t="s">
        <v>327</v>
      </c>
    </row>
    <row r="46" spans="1:13">
      <c r="A46" s="51">
        <v>300</v>
      </c>
      <c r="B46" s="51" t="s">
        <v>12</v>
      </c>
      <c r="C46" s="51">
        <v>0</v>
      </c>
      <c r="D46" s="51" t="s">
        <v>32</v>
      </c>
      <c r="E46" s="51">
        <v>-3.9679199999999999</v>
      </c>
      <c r="F46" s="51">
        <v>141.369</v>
      </c>
      <c r="G46" s="51">
        <v>260</v>
      </c>
      <c r="H46" s="51">
        <v>2002</v>
      </c>
      <c r="I46" s="64"/>
      <c r="M46" t="s">
        <v>327</v>
      </c>
    </row>
    <row r="47" spans="1:13">
      <c r="A47" s="51">
        <v>301</v>
      </c>
      <c r="B47" s="51" t="s">
        <v>10</v>
      </c>
      <c r="C47" s="51">
        <v>1</v>
      </c>
      <c r="D47" s="51" t="s">
        <v>32</v>
      </c>
      <c r="E47" s="51">
        <v>-3.95973</v>
      </c>
      <c r="F47" s="51">
        <v>141.273</v>
      </c>
      <c r="G47" s="51">
        <v>340</v>
      </c>
      <c r="H47" s="51">
        <v>1987</v>
      </c>
      <c r="I47" s="64"/>
      <c r="M47" t="s">
        <v>327</v>
      </c>
    </row>
    <row r="48" spans="1:13">
      <c r="A48" s="51">
        <v>303</v>
      </c>
      <c r="B48" s="51" t="s">
        <v>10</v>
      </c>
      <c r="C48" s="51">
        <v>1</v>
      </c>
      <c r="D48" s="51" t="s">
        <v>32</v>
      </c>
      <c r="E48" s="51">
        <v>-4.0196399999999999</v>
      </c>
      <c r="F48" s="51">
        <v>141.208</v>
      </c>
      <c r="G48" s="51">
        <v>300</v>
      </c>
      <c r="H48" s="51">
        <v>1994</v>
      </c>
      <c r="I48" s="64"/>
      <c r="M48" t="s">
        <v>327</v>
      </c>
    </row>
    <row r="49" spans="1:13">
      <c r="A49" s="51">
        <v>304</v>
      </c>
      <c r="B49" s="51" t="s">
        <v>10</v>
      </c>
      <c r="C49" s="51">
        <v>1</v>
      </c>
      <c r="D49" s="51" t="s">
        <v>32</v>
      </c>
      <c r="E49" s="51">
        <v>-4.0611100000000002</v>
      </c>
      <c r="F49" s="51">
        <v>141.17599999999999</v>
      </c>
      <c r="G49" s="51">
        <v>300</v>
      </c>
      <c r="H49" s="51">
        <v>1992</v>
      </c>
      <c r="I49" s="64"/>
      <c r="M49" t="s">
        <v>327</v>
      </c>
    </row>
    <row r="50" spans="1:13">
      <c r="A50" s="51">
        <v>305</v>
      </c>
      <c r="B50" s="51" t="s">
        <v>12</v>
      </c>
      <c r="C50" s="51">
        <v>0</v>
      </c>
      <c r="D50" s="51" t="s">
        <v>32</v>
      </c>
      <c r="E50" s="51">
        <v>-4.0994000000000002</v>
      </c>
      <c r="F50" s="51">
        <v>141.12799999999999</v>
      </c>
      <c r="G50" s="51">
        <v>300</v>
      </c>
      <c r="H50" s="51">
        <v>2004</v>
      </c>
      <c r="I50" s="64"/>
      <c r="M50" t="s">
        <v>327</v>
      </c>
    </row>
    <row r="51" spans="1:13">
      <c r="A51" s="51">
        <v>306</v>
      </c>
      <c r="B51" s="51" t="s">
        <v>12</v>
      </c>
      <c r="C51" s="51">
        <v>0</v>
      </c>
      <c r="D51" s="51" t="s">
        <v>32</v>
      </c>
      <c r="E51" s="51">
        <v>-4.11069</v>
      </c>
      <c r="F51" s="51">
        <v>141.04599999999999</v>
      </c>
      <c r="G51" s="51">
        <v>260</v>
      </c>
      <c r="H51" s="51">
        <v>2000</v>
      </c>
      <c r="I51" s="64"/>
      <c r="M51" t="s">
        <v>327</v>
      </c>
    </row>
    <row r="52" spans="1:13">
      <c r="A52" s="51">
        <v>310</v>
      </c>
      <c r="B52" s="51" t="s">
        <v>10</v>
      </c>
      <c r="C52" s="51">
        <v>1</v>
      </c>
      <c r="D52" s="51" t="s">
        <v>34</v>
      </c>
      <c r="E52" s="51">
        <v>-4.7603499999999999</v>
      </c>
      <c r="F52" s="51">
        <v>138.21600000000001</v>
      </c>
      <c r="G52" s="51">
        <v>260</v>
      </c>
      <c r="H52" s="51">
        <v>2008</v>
      </c>
      <c r="I52" s="64"/>
      <c r="M52">
        <v>2017</v>
      </c>
    </row>
    <row r="53" spans="1:13">
      <c r="A53" s="51">
        <v>335</v>
      </c>
      <c r="B53" s="51" t="s">
        <v>12</v>
      </c>
      <c r="C53" s="51">
        <v>0</v>
      </c>
      <c r="D53" s="51" t="s">
        <v>22</v>
      </c>
      <c r="E53" s="51">
        <v>27.1143</v>
      </c>
      <c r="F53" s="51">
        <v>68.065100000000001</v>
      </c>
      <c r="G53" s="51">
        <v>740</v>
      </c>
      <c r="H53" s="51">
        <v>2011</v>
      </c>
      <c r="I53" s="64"/>
      <c r="M53" t="s">
        <v>326</v>
      </c>
    </row>
    <row r="54" spans="1:13">
      <c r="A54" s="51">
        <v>341</v>
      </c>
      <c r="B54" s="51" t="s">
        <v>12</v>
      </c>
      <c r="C54" s="51">
        <v>0</v>
      </c>
      <c r="D54" s="51" t="s">
        <v>22</v>
      </c>
      <c r="E54" s="51">
        <v>27.5091</v>
      </c>
      <c r="F54" s="51">
        <v>68.317499999999995</v>
      </c>
      <c r="G54" s="51">
        <v>600</v>
      </c>
      <c r="H54" s="51">
        <v>2007</v>
      </c>
      <c r="I54" s="64"/>
      <c r="M54">
        <v>2013</v>
      </c>
    </row>
    <row r="55" spans="1:13">
      <c r="A55" s="51">
        <v>342</v>
      </c>
      <c r="B55" s="51" t="s">
        <v>12</v>
      </c>
      <c r="C55" s="51">
        <v>0</v>
      </c>
      <c r="D55" s="51" t="s">
        <v>22</v>
      </c>
      <c r="E55" s="51">
        <v>27.7103</v>
      </c>
      <c r="F55" s="51">
        <v>68.906000000000006</v>
      </c>
      <c r="G55" s="51">
        <v>680</v>
      </c>
      <c r="H55" s="51">
        <v>2005</v>
      </c>
      <c r="I55" s="64"/>
      <c r="M55" t="s">
        <v>327</v>
      </c>
    </row>
    <row r="56" spans="1:13">
      <c r="A56" s="49">
        <v>370</v>
      </c>
      <c r="B56" s="49" t="s">
        <v>10</v>
      </c>
      <c r="C56" s="49">
        <v>1</v>
      </c>
      <c r="D56" s="49" t="s">
        <v>36</v>
      </c>
      <c r="E56" s="49">
        <v>-12.7037</v>
      </c>
      <c r="F56" s="49">
        <v>-69.779799999999994</v>
      </c>
      <c r="G56" s="49">
        <v>400</v>
      </c>
      <c r="H56" s="49">
        <v>1987</v>
      </c>
      <c r="I56" s="53" t="s">
        <v>212</v>
      </c>
      <c r="M56" t="s">
        <v>326</v>
      </c>
    </row>
    <row r="57" spans="1:13">
      <c r="A57" s="51">
        <v>375</v>
      </c>
      <c r="B57" s="51" t="s">
        <v>12</v>
      </c>
      <c r="C57" s="51">
        <v>0</v>
      </c>
      <c r="D57" s="51" t="s">
        <v>37</v>
      </c>
      <c r="E57" s="51">
        <v>4.2832400000000002</v>
      </c>
      <c r="F57" s="51">
        <v>-70.310699999999997</v>
      </c>
      <c r="G57" s="51">
        <v>200</v>
      </c>
      <c r="H57" s="51">
        <v>1986</v>
      </c>
      <c r="I57" s="65" t="s">
        <v>203</v>
      </c>
      <c r="M57" t="s">
        <v>327</v>
      </c>
    </row>
    <row r="58" spans="1:13">
      <c r="A58" s="51">
        <v>377</v>
      </c>
      <c r="B58" s="51" t="s">
        <v>12</v>
      </c>
      <c r="C58" s="51">
        <v>0</v>
      </c>
      <c r="D58" s="51" t="s">
        <v>37</v>
      </c>
      <c r="E58" s="51">
        <v>4.4559600000000001</v>
      </c>
      <c r="F58" s="51">
        <v>-69.436199999999999</v>
      </c>
      <c r="G58" s="51">
        <v>200</v>
      </c>
      <c r="H58" s="51">
        <v>1986</v>
      </c>
      <c r="I58" s="65"/>
      <c r="M58" t="s">
        <v>326</v>
      </c>
    </row>
    <row r="59" spans="1:13">
      <c r="A59" s="49">
        <v>378</v>
      </c>
      <c r="B59" s="49" t="s">
        <v>12</v>
      </c>
      <c r="C59" s="49">
        <v>0</v>
      </c>
      <c r="D59" s="49" t="s">
        <v>38</v>
      </c>
      <c r="E59" s="49">
        <v>0.49785000000000001</v>
      </c>
      <c r="F59" s="49">
        <v>-76.536500000000004</v>
      </c>
      <c r="G59" s="49">
        <v>280</v>
      </c>
      <c r="H59" s="49">
        <v>2011</v>
      </c>
      <c r="I59" s="53" t="s">
        <v>156</v>
      </c>
      <c r="M59">
        <v>2013</v>
      </c>
    </row>
    <row r="60" spans="1:13">
      <c r="A60" s="54">
        <v>379</v>
      </c>
      <c r="B60" s="54" t="s">
        <v>10</v>
      </c>
      <c r="C60" s="54">
        <v>1</v>
      </c>
      <c r="D60" s="54" t="s">
        <v>38</v>
      </c>
      <c r="E60" s="54">
        <v>0.21967300000000001</v>
      </c>
      <c r="F60" s="54">
        <v>-75.9512</v>
      </c>
      <c r="G60" s="54">
        <v>240</v>
      </c>
      <c r="H60" s="54">
        <v>1997</v>
      </c>
      <c r="I60" s="55" t="s">
        <v>157</v>
      </c>
      <c r="M60" t="s">
        <v>327</v>
      </c>
    </row>
    <row r="61" spans="1:13">
      <c r="A61" s="54">
        <v>380</v>
      </c>
      <c r="B61" s="54" t="s">
        <v>12</v>
      </c>
      <c r="C61" s="54">
        <v>0</v>
      </c>
      <c r="D61" s="54" t="s">
        <v>39</v>
      </c>
      <c r="E61" s="54">
        <v>0.98235799999999995</v>
      </c>
      <c r="F61" s="54">
        <v>-75.938800000000001</v>
      </c>
      <c r="G61" s="54">
        <v>360</v>
      </c>
      <c r="H61" s="54">
        <v>2003</v>
      </c>
      <c r="I61" s="55" t="s">
        <v>154</v>
      </c>
      <c r="M61" t="s">
        <v>326</v>
      </c>
    </row>
    <row r="62" spans="1:13" ht="13.5" customHeight="1">
      <c r="A62" s="51">
        <v>382</v>
      </c>
      <c r="B62" s="51" t="s">
        <v>12</v>
      </c>
      <c r="C62" s="51">
        <v>0</v>
      </c>
      <c r="D62" s="51" t="s">
        <v>37</v>
      </c>
      <c r="E62" s="51">
        <v>4.1799200000000001</v>
      </c>
      <c r="F62" s="51">
        <v>-70.490600000000001</v>
      </c>
      <c r="G62" s="51">
        <v>200</v>
      </c>
      <c r="H62" s="51">
        <v>2004</v>
      </c>
      <c r="I62" s="56" t="s">
        <v>202</v>
      </c>
      <c r="M62" t="s">
        <v>326</v>
      </c>
    </row>
    <row r="63" spans="1:13">
      <c r="A63" s="57">
        <v>383</v>
      </c>
      <c r="B63" s="57" t="s">
        <v>10</v>
      </c>
      <c r="C63" s="57">
        <v>1</v>
      </c>
      <c r="D63" s="57" t="s">
        <v>39</v>
      </c>
      <c r="E63" s="57">
        <v>1.00678</v>
      </c>
      <c r="F63" s="57">
        <v>-76.190700000000007</v>
      </c>
      <c r="G63" s="57">
        <v>200</v>
      </c>
      <c r="H63" s="57">
        <v>2011</v>
      </c>
      <c r="I63" s="58" t="s">
        <v>155</v>
      </c>
      <c r="M63" t="s">
        <v>327</v>
      </c>
    </row>
    <row r="64" spans="1:13">
      <c r="A64" s="49">
        <v>386</v>
      </c>
      <c r="B64" s="49" t="s">
        <v>10</v>
      </c>
      <c r="C64" s="49">
        <v>1</v>
      </c>
      <c r="D64" s="49" t="s">
        <v>40</v>
      </c>
      <c r="E64" s="49">
        <v>-6.7428600000000003</v>
      </c>
      <c r="F64" s="49">
        <v>-70.277600000000007</v>
      </c>
      <c r="G64" s="49">
        <v>200</v>
      </c>
      <c r="H64" s="49">
        <v>2011</v>
      </c>
      <c r="I64" s="53" t="s">
        <v>268</v>
      </c>
      <c r="M64" t="s">
        <v>327</v>
      </c>
    </row>
    <row r="65" spans="1:15">
      <c r="A65" s="57">
        <v>387</v>
      </c>
      <c r="B65" s="57" t="s">
        <v>10</v>
      </c>
      <c r="C65" s="57">
        <v>1</v>
      </c>
      <c r="D65" s="57" t="s">
        <v>40</v>
      </c>
      <c r="E65" s="57">
        <v>-6.7542600000000004</v>
      </c>
      <c r="F65" s="57">
        <v>-69.943399999999997</v>
      </c>
      <c r="G65" s="57">
        <v>200</v>
      </c>
      <c r="H65" s="57">
        <v>2009</v>
      </c>
      <c r="I65" s="58" t="s">
        <v>170</v>
      </c>
      <c r="M65" t="s">
        <v>327</v>
      </c>
    </row>
    <row r="66" spans="1:15">
      <c r="A66" s="49">
        <v>388</v>
      </c>
      <c r="B66" s="49" t="s">
        <v>10</v>
      </c>
      <c r="C66" s="49">
        <v>1</v>
      </c>
      <c r="D66" s="49" t="s">
        <v>40</v>
      </c>
      <c r="E66" s="49">
        <v>-6.8161500000000004</v>
      </c>
      <c r="F66" s="49">
        <v>-70.617999999999995</v>
      </c>
      <c r="G66" s="49">
        <v>200</v>
      </c>
      <c r="H66" s="49">
        <v>2015</v>
      </c>
      <c r="I66" s="53" t="s">
        <v>267</v>
      </c>
      <c r="M66" t="s">
        <v>326</v>
      </c>
      <c r="O66" t="s">
        <v>330</v>
      </c>
    </row>
    <row r="67" spans="1:15">
      <c r="A67" s="49">
        <v>389</v>
      </c>
      <c r="B67" s="49" t="s">
        <v>10</v>
      </c>
      <c r="C67" s="49">
        <v>1</v>
      </c>
      <c r="D67" s="49" t="s">
        <v>40</v>
      </c>
      <c r="E67" s="49">
        <v>-6.7488299999999999</v>
      </c>
      <c r="F67" s="49">
        <v>-70.224400000000003</v>
      </c>
      <c r="G67" s="49">
        <v>200</v>
      </c>
      <c r="H67" s="49">
        <v>2001</v>
      </c>
      <c r="I67" s="53" t="s">
        <v>269</v>
      </c>
      <c r="M67">
        <v>2006</v>
      </c>
    </row>
    <row r="68" spans="1:15">
      <c r="A68" s="54">
        <v>390</v>
      </c>
      <c r="B68" s="54" t="s">
        <v>12</v>
      </c>
      <c r="C68" s="54">
        <v>0</v>
      </c>
      <c r="D68" s="54" t="s">
        <v>42</v>
      </c>
      <c r="E68" s="54">
        <v>-9.8934300000000004</v>
      </c>
      <c r="F68" s="54">
        <v>-74.030900000000003</v>
      </c>
      <c r="G68" s="54">
        <v>800</v>
      </c>
      <c r="H68" s="54">
        <v>2000</v>
      </c>
      <c r="I68" s="55" t="s">
        <v>174</v>
      </c>
      <c r="M68">
        <v>2003</v>
      </c>
    </row>
    <row r="69" spans="1:15">
      <c r="A69" s="49">
        <v>391</v>
      </c>
      <c r="B69" s="49" t="s">
        <v>10</v>
      </c>
      <c r="C69" s="49">
        <v>1</v>
      </c>
      <c r="D69" s="49" t="s">
        <v>42</v>
      </c>
      <c r="E69" s="49">
        <v>-9.6462699999999995</v>
      </c>
      <c r="F69" s="49">
        <v>-74.092399999999998</v>
      </c>
      <c r="G69" s="49">
        <v>800</v>
      </c>
      <c r="H69" s="49">
        <v>2016</v>
      </c>
      <c r="I69" s="53" t="s">
        <v>176</v>
      </c>
      <c r="M69">
        <v>2017</v>
      </c>
    </row>
    <row r="70" spans="1:15">
      <c r="A70" s="54">
        <v>393</v>
      </c>
      <c r="B70" s="54" t="s">
        <v>10</v>
      </c>
      <c r="C70" s="54">
        <v>1</v>
      </c>
      <c r="D70" s="54" t="s">
        <v>42</v>
      </c>
      <c r="E70" s="54">
        <v>-7.6381100000000002</v>
      </c>
      <c r="F70" s="54">
        <v>-74.997500000000002</v>
      </c>
      <c r="G70" s="54">
        <v>960</v>
      </c>
      <c r="H70" s="54">
        <v>2014</v>
      </c>
      <c r="I70" s="55" t="s">
        <v>188</v>
      </c>
      <c r="M70">
        <v>2017</v>
      </c>
    </row>
    <row r="71" spans="1:15">
      <c r="A71" s="54">
        <v>394</v>
      </c>
      <c r="B71" s="54" t="s">
        <v>10</v>
      </c>
      <c r="C71" s="54">
        <v>1</v>
      </c>
      <c r="D71" s="54" t="s">
        <v>42</v>
      </c>
      <c r="E71" s="54">
        <v>-10.0589</v>
      </c>
      <c r="F71" s="54">
        <v>-73.990399999999994</v>
      </c>
      <c r="G71" s="54">
        <v>660</v>
      </c>
      <c r="H71" s="54">
        <v>2006</v>
      </c>
      <c r="I71" s="55" t="s">
        <v>172</v>
      </c>
      <c r="J71" s="59" t="s">
        <v>173</v>
      </c>
      <c r="M71" t="s">
        <v>326</v>
      </c>
    </row>
    <row r="72" spans="1:15">
      <c r="A72" s="49">
        <v>395</v>
      </c>
      <c r="B72" s="49" t="s">
        <v>12</v>
      </c>
      <c r="C72" s="49">
        <v>0</v>
      </c>
      <c r="D72" s="49" t="s">
        <v>42</v>
      </c>
      <c r="E72" s="49">
        <v>-9.6705900000000007</v>
      </c>
      <c r="F72" s="49">
        <v>-74.105400000000003</v>
      </c>
      <c r="G72" s="49">
        <v>800</v>
      </c>
      <c r="H72" s="49">
        <v>2017</v>
      </c>
      <c r="I72" s="53" t="s">
        <v>175</v>
      </c>
      <c r="M72">
        <v>2019</v>
      </c>
    </row>
    <row r="73" spans="1:15">
      <c r="A73" s="49">
        <v>398</v>
      </c>
      <c r="B73" s="49" t="s">
        <v>10</v>
      </c>
      <c r="C73" s="49">
        <v>1</v>
      </c>
      <c r="D73" s="49" t="s">
        <v>42</v>
      </c>
      <c r="E73" s="49">
        <v>-8.4271700000000003</v>
      </c>
      <c r="F73" s="49">
        <v>-74.501099999999994</v>
      </c>
      <c r="G73" s="49">
        <v>700</v>
      </c>
      <c r="H73" s="49">
        <v>1985</v>
      </c>
      <c r="I73" s="53" t="s">
        <v>180</v>
      </c>
      <c r="J73" s="49" t="s">
        <v>181</v>
      </c>
      <c r="M73">
        <v>2007</v>
      </c>
    </row>
    <row r="74" spans="1:15">
      <c r="A74" s="49">
        <v>400</v>
      </c>
      <c r="B74" s="49" t="s">
        <v>10</v>
      </c>
      <c r="C74" s="49">
        <v>1</v>
      </c>
      <c r="D74" s="49" t="s">
        <v>42</v>
      </c>
      <c r="E74" s="49">
        <v>-9.2414900000000006</v>
      </c>
      <c r="F74" s="49">
        <v>-74.436000000000007</v>
      </c>
      <c r="G74" s="49">
        <v>600</v>
      </c>
      <c r="H74" s="49">
        <v>1999</v>
      </c>
      <c r="I74" s="53" t="s">
        <v>177</v>
      </c>
      <c r="M74">
        <v>1999</v>
      </c>
    </row>
    <row r="75" spans="1:15">
      <c r="A75" s="54">
        <v>405</v>
      </c>
      <c r="B75" s="54" t="s">
        <v>12</v>
      </c>
      <c r="C75" s="54">
        <v>0</v>
      </c>
      <c r="D75" s="54" t="s">
        <v>42</v>
      </c>
      <c r="E75" s="54">
        <v>-8.5306499999999996</v>
      </c>
      <c r="F75" s="54">
        <v>-74.355699999999999</v>
      </c>
      <c r="G75" s="54">
        <v>700</v>
      </c>
      <c r="H75" s="54">
        <v>1997</v>
      </c>
      <c r="I75" s="55" t="s">
        <v>178</v>
      </c>
      <c r="J75" s="49" t="s">
        <v>179</v>
      </c>
      <c r="M75">
        <v>2004</v>
      </c>
    </row>
    <row r="76" spans="1:15">
      <c r="A76" s="54">
        <v>412</v>
      </c>
      <c r="B76" s="54" t="s">
        <v>12</v>
      </c>
      <c r="C76" s="54">
        <v>0</v>
      </c>
      <c r="D76" s="54" t="s">
        <v>42</v>
      </c>
      <c r="E76" s="54">
        <v>-7.9413499999999999</v>
      </c>
      <c r="F76" s="54">
        <v>-74.713099999999997</v>
      </c>
      <c r="G76" s="54">
        <v>600</v>
      </c>
      <c r="H76" s="54">
        <v>1998</v>
      </c>
      <c r="I76" s="55" t="s">
        <v>187</v>
      </c>
      <c r="M76">
        <v>2001</v>
      </c>
    </row>
    <row r="77" spans="1:15">
      <c r="A77" s="54">
        <v>414</v>
      </c>
      <c r="B77" s="54" t="s">
        <v>10</v>
      </c>
      <c r="C77" s="54">
        <v>1</v>
      </c>
      <c r="D77" s="54" t="s">
        <v>36</v>
      </c>
      <c r="E77" s="54">
        <v>-11.111499999999999</v>
      </c>
      <c r="F77" s="54">
        <v>-66.425600000000003</v>
      </c>
      <c r="G77" s="54">
        <v>600</v>
      </c>
      <c r="H77" s="54">
        <v>2006</v>
      </c>
      <c r="I77" s="55" t="s">
        <v>224</v>
      </c>
      <c r="M77">
        <v>2008</v>
      </c>
    </row>
    <row r="78" spans="1:15" ht="27">
      <c r="A78" s="60">
        <v>418</v>
      </c>
      <c r="B78" s="60" t="s">
        <v>10</v>
      </c>
      <c r="C78" s="60">
        <v>1</v>
      </c>
      <c r="D78" s="60" t="s">
        <v>36</v>
      </c>
      <c r="E78" s="60">
        <v>-12.1518</v>
      </c>
      <c r="F78" s="60">
        <v>-71.066599999999994</v>
      </c>
      <c r="G78" s="60">
        <v>200</v>
      </c>
      <c r="H78" s="60">
        <v>2003</v>
      </c>
      <c r="I78" s="61" t="s">
        <v>204</v>
      </c>
      <c r="M78" t="s">
        <v>326</v>
      </c>
    </row>
    <row r="79" spans="1:15">
      <c r="A79" s="49">
        <v>423</v>
      </c>
      <c r="B79" s="49" t="s">
        <v>10</v>
      </c>
      <c r="C79" s="49">
        <v>1</v>
      </c>
      <c r="D79" s="49" t="s">
        <v>36</v>
      </c>
      <c r="E79" s="49">
        <v>-12.6096</v>
      </c>
      <c r="F79" s="49">
        <v>-70.2089</v>
      </c>
      <c r="G79" s="49">
        <v>300</v>
      </c>
      <c r="H79" s="49">
        <v>1987</v>
      </c>
      <c r="I79" s="53" t="s">
        <v>281</v>
      </c>
      <c r="M79">
        <v>1999</v>
      </c>
      <c r="O79" t="s">
        <v>331</v>
      </c>
    </row>
    <row r="80" spans="1:15">
      <c r="A80" s="49">
        <v>426</v>
      </c>
      <c r="B80" s="49" t="s">
        <v>10</v>
      </c>
      <c r="C80" s="49">
        <v>1</v>
      </c>
      <c r="D80" s="49" t="s">
        <v>36</v>
      </c>
      <c r="E80" s="49">
        <v>-12.4247</v>
      </c>
      <c r="F80" s="49">
        <v>-70.703100000000006</v>
      </c>
      <c r="G80" s="49">
        <v>260</v>
      </c>
      <c r="H80" s="49">
        <v>1986</v>
      </c>
      <c r="I80" s="53" t="s">
        <v>205</v>
      </c>
      <c r="M80" t="s">
        <v>327</v>
      </c>
    </row>
    <row r="81" spans="1:13">
      <c r="A81" s="49">
        <v>427</v>
      </c>
      <c r="B81" s="49" t="s">
        <v>12</v>
      </c>
      <c r="C81" s="49">
        <v>0</v>
      </c>
      <c r="D81" s="49" t="s">
        <v>36</v>
      </c>
      <c r="E81" s="49">
        <v>-12.4841</v>
      </c>
      <c r="F81" s="49">
        <v>-70.581400000000002</v>
      </c>
      <c r="G81" s="49">
        <v>260</v>
      </c>
      <c r="H81" s="49">
        <v>2012</v>
      </c>
      <c r="I81" s="53" t="s">
        <v>209</v>
      </c>
      <c r="M81" t="s">
        <v>326</v>
      </c>
    </row>
    <row r="82" spans="1:13">
      <c r="A82" s="57">
        <v>428</v>
      </c>
      <c r="B82" s="57" t="s">
        <v>12</v>
      </c>
      <c r="C82" s="57">
        <v>0</v>
      </c>
      <c r="D82" s="57" t="s">
        <v>36</v>
      </c>
      <c r="E82" s="57">
        <v>-12.447900000000001</v>
      </c>
      <c r="F82" s="57">
        <v>-70.692999999999998</v>
      </c>
      <c r="G82" s="57">
        <v>260</v>
      </c>
      <c r="H82" s="57">
        <v>2003</v>
      </c>
      <c r="I82" s="58" t="s">
        <v>206</v>
      </c>
      <c r="J82" s="59" t="s">
        <v>207</v>
      </c>
      <c r="M82" t="s">
        <v>327</v>
      </c>
    </row>
    <row r="83" spans="1:13">
      <c r="A83" s="49">
        <v>429</v>
      </c>
      <c r="B83" s="49" t="s">
        <v>10</v>
      </c>
      <c r="C83" s="49">
        <v>1</v>
      </c>
      <c r="D83" s="49" t="s">
        <v>36</v>
      </c>
      <c r="E83" s="49">
        <v>-12.4467</v>
      </c>
      <c r="F83" s="49">
        <v>-70.654600000000002</v>
      </c>
      <c r="G83" s="49">
        <v>260</v>
      </c>
      <c r="H83" s="49">
        <v>1997</v>
      </c>
      <c r="I83" s="53" t="s">
        <v>208</v>
      </c>
      <c r="M83">
        <v>2001</v>
      </c>
    </row>
    <row r="84" spans="1:13">
      <c r="A84" s="54">
        <v>430</v>
      </c>
      <c r="B84" s="54" t="s">
        <v>10</v>
      </c>
      <c r="C84" s="54">
        <v>1</v>
      </c>
      <c r="D84" s="54" t="s">
        <v>36</v>
      </c>
      <c r="E84" s="54">
        <v>-12.5687</v>
      </c>
      <c r="F84" s="54">
        <v>-70.460899999999995</v>
      </c>
      <c r="G84" s="54">
        <v>300</v>
      </c>
      <c r="H84" s="54">
        <v>1997</v>
      </c>
      <c r="I84" s="55" t="s">
        <v>210</v>
      </c>
      <c r="M84" t="s">
        <v>327</v>
      </c>
    </row>
    <row r="85" spans="1:13">
      <c r="A85" s="49">
        <v>435</v>
      </c>
      <c r="B85" s="49" t="s">
        <v>12</v>
      </c>
      <c r="C85" s="49">
        <v>0</v>
      </c>
      <c r="D85" s="49" t="s">
        <v>40</v>
      </c>
      <c r="E85" s="49">
        <v>-5.0781599999999996</v>
      </c>
      <c r="F85" s="49">
        <v>-67.003399999999999</v>
      </c>
      <c r="G85" s="49">
        <v>360</v>
      </c>
      <c r="H85" s="49">
        <v>1992</v>
      </c>
      <c r="I85" s="53" t="s">
        <v>276</v>
      </c>
      <c r="J85" s="59" t="s">
        <v>277</v>
      </c>
      <c r="M85">
        <v>2008</v>
      </c>
    </row>
    <row r="86" spans="1:13">
      <c r="A86" s="54">
        <v>436</v>
      </c>
      <c r="B86" s="54" t="s">
        <v>10</v>
      </c>
      <c r="C86" s="54">
        <v>1</v>
      </c>
      <c r="D86" s="54" t="s">
        <v>36</v>
      </c>
      <c r="E86" s="54">
        <v>-12.5724</v>
      </c>
      <c r="F86" s="54">
        <v>-70.446299999999994</v>
      </c>
      <c r="G86" s="54">
        <v>300</v>
      </c>
      <c r="H86" s="54">
        <v>2014</v>
      </c>
      <c r="I86" s="55" t="s">
        <v>211</v>
      </c>
      <c r="M86">
        <v>2017</v>
      </c>
    </row>
    <row r="87" spans="1:13">
      <c r="A87" s="49">
        <v>437</v>
      </c>
      <c r="B87" s="49" t="s">
        <v>10</v>
      </c>
      <c r="C87" s="49">
        <v>1</v>
      </c>
      <c r="D87" s="49" t="s">
        <v>40</v>
      </c>
      <c r="E87" s="49">
        <v>-6.23637</v>
      </c>
      <c r="F87" s="49">
        <v>-68.102900000000005</v>
      </c>
      <c r="G87" s="49">
        <v>340</v>
      </c>
      <c r="H87" s="49">
        <v>2015</v>
      </c>
      <c r="I87" s="53" t="s">
        <v>275</v>
      </c>
      <c r="M87" t="s">
        <v>326</v>
      </c>
    </row>
    <row r="88" spans="1:13">
      <c r="A88" s="49">
        <v>438</v>
      </c>
      <c r="B88" s="49" t="s">
        <v>10</v>
      </c>
      <c r="C88" s="49">
        <v>1</v>
      </c>
      <c r="D88" s="49" t="s">
        <v>40</v>
      </c>
      <c r="E88" s="49">
        <v>-6.5492100000000004</v>
      </c>
      <c r="F88" s="49">
        <v>-68.898200000000003</v>
      </c>
      <c r="G88" s="49">
        <v>340</v>
      </c>
      <c r="H88" s="49">
        <v>2005</v>
      </c>
      <c r="I88" s="53" t="s">
        <v>273</v>
      </c>
      <c r="M88" t="s">
        <v>326</v>
      </c>
    </row>
    <row r="89" spans="1:13">
      <c r="A89" s="54">
        <v>439</v>
      </c>
      <c r="B89" s="54" t="s">
        <v>12</v>
      </c>
      <c r="C89" s="54">
        <v>0</v>
      </c>
      <c r="D89" s="54" t="s">
        <v>40</v>
      </c>
      <c r="E89" s="54">
        <v>-3.6632199999999999</v>
      </c>
      <c r="F89" s="54">
        <v>-66.152299999999997</v>
      </c>
      <c r="G89" s="54">
        <v>360</v>
      </c>
      <c r="H89" s="54">
        <v>2005</v>
      </c>
      <c r="I89" s="55" t="s">
        <v>278</v>
      </c>
      <c r="M89" t="s">
        <v>326</v>
      </c>
    </row>
    <row r="90" spans="1:13">
      <c r="A90" s="57">
        <v>440</v>
      </c>
      <c r="B90" s="57" t="s">
        <v>10</v>
      </c>
      <c r="C90" s="57">
        <v>1</v>
      </c>
      <c r="D90" s="57" t="s">
        <v>40</v>
      </c>
      <c r="E90" s="57">
        <v>-6.5995900000000001</v>
      </c>
      <c r="F90" s="57">
        <v>-69.218500000000006</v>
      </c>
      <c r="G90" s="57">
        <v>320</v>
      </c>
      <c r="H90" s="57">
        <v>1984</v>
      </c>
      <c r="I90" s="58" t="s">
        <v>170</v>
      </c>
      <c r="M90">
        <v>1989</v>
      </c>
    </row>
    <row r="91" spans="1:13">
      <c r="A91" s="49">
        <v>441</v>
      </c>
      <c r="B91" s="49" t="s">
        <v>10</v>
      </c>
      <c r="C91" s="49">
        <v>1</v>
      </c>
      <c r="D91" s="49" t="s">
        <v>40</v>
      </c>
      <c r="E91" s="49">
        <v>-6.5827099999999996</v>
      </c>
      <c r="F91" s="49">
        <v>-69.001000000000005</v>
      </c>
      <c r="G91" s="49">
        <v>320</v>
      </c>
      <c r="H91" s="49">
        <v>2011</v>
      </c>
      <c r="I91" s="53" t="s">
        <v>272</v>
      </c>
      <c r="M91">
        <v>2016</v>
      </c>
    </row>
    <row r="92" spans="1:13">
      <c r="A92" s="57">
        <v>443</v>
      </c>
      <c r="B92" s="57" t="s">
        <v>10</v>
      </c>
      <c r="C92" s="57">
        <v>1</v>
      </c>
      <c r="D92" s="57" t="s">
        <v>40</v>
      </c>
      <c r="E92" s="57">
        <v>-3.4142600000000001</v>
      </c>
      <c r="F92" s="57">
        <v>-66.0565</v>
      </c>
      <c r="G92" s="57">
        <v>360</v>
      </c>
      <c r="H92" s="57">
        <v>1984</v>
      </c>
      <c r="I92" s="58" t="s">
        <v>170</v>
      </c>
      <c r="M92">
        <v>2018</v>
      </c>
    </row>
    <row r="93" spans="1:13">
      <c r="A93" s="49">
        <v>444</v>
      </c>
      <c r="B93" s="49" t="s">
        <v>10</v>
      </c>
      <c r="C93" s="49">
        <v>1</v>
      </c>
      <c r="D93" s="49" t="s">
        <v>40</v>
      </c>
      <c r="E93" s="49">
        <v>-6.47079</v>
      </c>
      <c r="F93" s="49">
        <v>-68.474000000000004</v>
      </c>
      <c r="G93" s="49">
        <v>380</v>
      </c>
      <c r="H93" s="49">
        <v>2003</v>
      </c>
      <c r="I93" s="53" t="s">
        <v>274</v>
      </c>
      <c r="M93">
        <v>2010</v>
      </c>
    </row>
    <row r="94" spans="1:13">
      <c r="A94" s="57">
        <v>445</v>
      </c>
      <c r="B94" s="57" t="s">
        <v>10</v>
      </c>
      <c r="C94" s="57">
        <v>1</v>
      </c>
      <c r="D94" s="57" t="s">
        <v>45</v>
      </c>
      <c r="E94" s="57">
        <v>-6.8385699999999998</v>
      </c>
      <c r="F94" s="57">
        <v>-69.770300000000006</v>
      </c>
      <c r="G94" s="57">
        <v>200</v>
      </c>
      <c r="H94" s="57">
        <v>1987</v>
      </c>
      <c r="I94" s="58" t="s">
        <v>170</v>
      </c>
      <c r="M94">
        <v>2005</v>
      </c>
    </row>
    <row r="95" spans="1:13">
      <c r="A95" s="49">
        <v>446</v>
      </c>
      <c r="B95" s="49" t="s">
        <v>10</v>
      </c>
      <c r="C95" s="49">
        <v>1</v>
      </c>
      <c r="D95" s="49" t="s">
        <v>45</v>
      </c>
      <c r="E95" s="49">
        <v>-7.1050500000000003</v>
      </c>
      <c r="F95" s="49">
        <v>-69.794499999999999</v>
      </c>
      <c r="G95" s="49">
        <v>240</v>
      </c>
      <c r="H95" s="49">
        <v>2000</v>
      </c>
      <c r="I95" s="53" t="s">
        <v>271</v>
      </c>
      <c r="M95">
        <v>2007</v>
      </c>
    </row>
    <row r="96" spans="1:13">
      <c r="A96" s="49">
        <v>447</v>
      </c>
      <c r="B96" s="49" t="s">
        <v>10</v>
      </c>
      <c r="C96" s="49">
        <v>1</v>
      </c>
      <c r="D96" s="49" t="s">
        <v>45</v>
      </c>
      <c r="E96" s="49">
        <v>-7.3217100000000004</v>
      </c>
      <c r="F96" s="49">
        <v>-69.970100000000002</v>
      </c>
      <c r="G96" s="49">
        <v>260</v>
      </c>
      <c r="H96" s="49">
        <v>1999</v>
      </c>
      <c r="I96" s="53" t="s">
        <v>270</v>
      </c>
      <c r="M96" t="s">
        <v>327</v>
      </c>
    </row>
    <row r="97" spans="1:15">
      <c r="A97" s="57">
        <v>448</v>
      </c>
      <c r="B97" s="57" t="s">
        <v>10</v>
      </c>
      <c r="C97" s="57">
        <v>1</v>
      </c>
      <c r="D97" s="57" t="s">
        <v>45</v>
      </c>
      <c r="E97" s="57">
        <v>-7.2228199999999996</v>
      </c>
      <c r="F97" s="57">
        <v>-69.878299999999996</v>
      </c>
      <c r="G97" s="57">
        <v>220</v>
      </c>
      <c r="H97" s="57">
        <v>1984</v>
      </c>
      <c r="I97" s="58" t="s">
        <v>170</v>
      </c>
      <c r="M97">
        <v>2008</v>
      </c>
    </row>
    <row r="98" spans="1:15">
      <c r="A98" s="57">
        <v>451</v>
      </c>
      <c r="B98" s="57" t="s">
        <v>10</v>
      </c>
      <c r="C98" s="57">
        <v>1</v>
      </c>
      <c r="D98" s="57" t="s">
        <v>45</v>
      </c>
      <c r="E98" s="57">
        <v>-6.9614599999999998</v>
      </c>
      <c r="F98" s="57">
        <v>-69.748800000000003</v>
      </c>
      <c r="G98" s="57">
        <v>240</v>
      </c>
      <c r="H98" s="57">
        <v>2016</v>
      </c>
      <c r="I98" s="58" t="s">
        <v>170</v>
      </c>
      <c r="M98">
        <v>2023</v>
      </c>
    </row>
    <row r="99" spans="1:15">
      <c r="A99" s="57">
        <v>457</v>
      </c>
      <c r="B99" s="57" t="s">
        <v>10</v>
      </c>
      <c r="C99" s="57">
        <v>1</v>
      </c>
      <c r="D99" s="57" t="s">
        <v>45</v>
      </c>
      <c r="E99" s="57">
        <v>-6.8939599999999999</v>
      </c>
      <c r="F99" s="57">
        <v>-69.777000000000001</v>
      </c>
      <c r="G99" s="57">
        <v>240</v>
      </c>
      <c r="H99" s="57">
        <v>1988</v>
      </c>
      <c r="I99" s="58" t="s">
        <v>170</v>
      </c>
      <c r="M99">
        <v>1994</v>
      </c>
    </row>
    <row r="100" spans="1:15">
      <c r="A100" s="49">
        <v>465</v>
      </c>
      <c r="B100" s="49" t="s">
        <v>10</v>
      </c>
      <c r="C100" s="49">
        <v>1</v>
      </c>
      <c r="D100" s="49" t="s">
        <v>46</v>
      </c>
      <c r="E100" s="49">
        <v>-11.272399999999999</v>
      </c>
      <c r="F100" s="49">
        <v>-66.281999999999996</v>
      </c>
      <c r="G100" s="49">
        <v>460</v>
      </c>
      <c r="H100" s="49">
        <v>2000</v>
      </c>
      <c r="I100" s="53" t="s">
        <v>223</v>
      </c>
      <c r="M100" t="s">
        <v>326</v>
      </c>
    </row>
    <row r="101" spans="1:15">
      <c r="A101" s="49">
        <v>468</v>
      </c>
      <c r="B101" s="49" t="s">
        <v>10</v>
      </c>
      <c r="C101" s="49">
        <v>1</v>
      </c>
      <c r="D101" s="49" t="s">
        <v>46</v>
      </c>
      <c r="E101" s="49">
        <v>-13.1282</v>
      </c>
      <c r="F101" s="49">
        <v>-67.172200000000004</v>
      </c>
      <c r="G101" s="49">
        <v>360</v>
      </c>
      <c r="H101" s="49">
        <v>2010</v>
      </c>
      <c r="I101" s="53" t="s">
        <v>222</v>
      </c>
      <c r="M101">
        <v>2013</v>
      </c>
    </row>
    <row r="102" spans="1:15">
      <c r="A102" s="54">
        <v>470</v>
      </c>
      <c r="B102" s="54" t="s">
        <v>10</v>
      </c>
      <c r="C102" s="54">
        <v>1</v>
      </c>
      <c r="D102" s="54" t="s">
        <v>46</v>
      </c>
      <c r="E102" s="54">
        <v>-13.1846</v>
      </c>
      <c r="F102" s="54">
        <v>-67.231999999999999</v>
      </c>
      <c r="G102" s="54">
        <v>360</v>
      </c>
      <c r="H102" s="54">
        <v>2018</v>
      </c>
      <c r="I102" s="55" t="s">
        <v>221</v>
      </c>
      <c r="M102">
        <v>2023</v>
      </c>
    </row>
    <row r="103" spans="1:15">
      <c r="A103" s="49">
        <v>471</v>
      </c>
      <c r="B103" s="49" t="s">
        <v>10</v>
      </c>
      <c r="C103" s="49">
        <v>1</v>
      </c>
      <c r="D103" s="49" t="s">
        <v>46</v>
      </c>
      <c r="E103" s="49">
        <v>-13.241400000000001</v>
      </c>
      <c r="F103" s="49">
        <v>-67.264499999999998</v>
      </c>
      <c r="G103" s="49">
        <v>360</v>
      </c>
      <c r="H103" s="49">
        <v>2016</v>
      </c>
      <c r="I103" s="53" t="s">
        <v>220</v>
      </c>
      <c r="M103">
        <v>2019</v>
      </c>
    </row>
    <row r="104" spans="1:15">
      <c r="A104" s="49">
        <v>478</v>
      </c>
      <c r="B104" s="49" t="s">
        <v>10</v>
      </c>
      <c r="C104" s="49">
        <v>1</v>
      </c>
      <c r="D104" s="49" t="s">
        <v>46</v>
      </c>
      <c r="E104" s="49">
        <v>-13.574999999999999</v>
      </c>
      <c r="F104" s="49">
        <v>-67.366500000000002</v>
      </c>
      <c r="G104" s="49">
        <v>340</v>
      </c>
      <c r="H104" s="49">
        <v>2010</v>
      </c>
      <c r="I104" s="53" t="s">
        <v>218</v>
      </c>
      <c r="M104">
        <v>2016</v>
      </c>
    </row>
    <row r="105" spans="1:15">
      <c r="A105" s="49">
        <v>479</v>
      </c>
      <c r="B105" s="49" t="s">
        <v>10</v>
      </c>
      <c r="C105" s="49">
        <v>1</v>
      </c>
      <c r="D105" s="49" t="s">
        <v>46</v>
      </c>
      <c r="E105" s="49">
        <v>-13.632199999999999</v>
      </c>
      <c r="F105" s="49">
        <v>-67.385000000000005</v>
      </c>
      <c r="G105" s="49">
        <v>440</v>
      </c>
      <c r="H105" s="49">
        <v>2013</v>
      </c>
      <c r="I105" s="53" t="s">
        <v>217</v>
      </c>
      <c r="M105" t="s">
        <v>326</v>
      </c>
      <c r="O105" t="s">
        <v>332</v>
      </c>
    </row>
    <row r="106" spans="1:15">
      <c r="A106" s="49">
        <v>480</v>
      </c>
      <c r="B106" s="49" t="s">
        <v>10</v>
      </c>
      <c r="C106" s="49">
        <v>1</v>
      </c>
      <c r="D106" s="49" t="s">
        <v>46</v>
      </c>
      <c r="E106" s="49">
        <v>-13.763500000000001</v>
      </c>
      <c r="F106" s="49">
        <v>-67.477999999999994</v>
      </c>
      <c r="G106" s="49">
        <v>540</v>
      </c>
      <c r="H106" s="49">
        <v>1990</v>
      </c>
      <c r="I106" s="53" t="s">
        <v>216</v>
      </c>
      <c r="M106">
        <v>2000</v>
      </c>
    </row>
    <row r="107" spans="1:15">
      <c r="A107" s="49">
        <v>483</v>
      </c>
      <c r="B107" s="49" t="s">
        <v>10</v>
      </c>
      <c r="C107" s="49">
        <v>1</v>
      </c>
      <c r="D107" s="49" t="s">
        <v>46</v>
      </c>
      <c r="E107" s="49">
        <v>-13.446999999999999</v>
      </c>
      <c r="F107" s="49">
        <v>-67.381900000000002</v>
      </c>
      <c r="G107" s="49">
        <v>360</v>
      </c>
      <c r="H107" s="49">
        <v>2013</v>
      </c>
      <c r="I107" s="53" t="s">
        <v>219</v>
      </c>
      <c r="M107">
        <v>2023</v>
      </c>
    </row>
    <row r="108" spans="1:15">
      <c r="A108" s="51">
        <v>485</v>
      </c>
      <c r="B108" s="51" t="s">
        <v>10</v>
      </c>
      <c r="C108" s="51">
        <v>1</v>
      </c>
      <c r="D108" s="51" t="s">
        <v>36</v>
      </c>
      <c r="E108" s="51">
        <v>-12.621</v>
      </c>
      <c r="F108" s="51">
        <v>-70.250900000000001</v>
      </c>
      <c r="G108" s="51">
        <v>360</v>
      </c>
      <c r="H108" s="51">
        <v>2014</v>
      </c>
      <c r="I108" s="56" t="s">
        <v>279</v>
      </c>
      <c r="M108" t="s">
        <v>327</v>
      </c>
    </row>
    <row r="109" spans="1:15">
      <c r="A109" s="49">
        <v>487</v>
      </c>
      <c r="B109" s="49" t="s">
        <v>10</v>
      </c>
      <c r="C109" s="49">
        <v>1</v>
      </c>
      <c r="D109" s="49" t="s">
        <v>46</v>
      </c>
      <c r="E109" s="49">
        <v>-14.2218</v>
      </c>
      <c r="F109" s="49">
        <v>-67.521500000000003</v>
      </c>
      <c r="G109" s="49">
        <v>380</v>
      </c>
      <c r="H109" s="49">
        <v>1992</v>
      </c>
      <c r="I109" s="53" t="s">
        <v>213</v>
      </c>
      <c r="M109">
        <v>1995</v>
      </c>
    </row>
    <row r="110" spans="1:15">
      <c r="A110" s="49">
        <v>490</v>
      </c>
      <c r="B110" s="49" t="s">
        <v>10</v>
      </c>
      <c r="C110" s="49">
        <v>1</v>
      </c>
      <c r="D110" s="49" t="s">
        <v>46</v>
      </c>
      <c r="E110" s="49">
        <v>-14.095499999999999</v>
      </c>
      <c r="F110" s="49">
        <v>-67.514399999999995</v>
      </c>
      <c r="G110" s="49">
        <v>420</v>
      </c>
      <c r="H110" s="49">
        <v>2014</v>
      </c>
      <c r="I110" s="53" t="s">
        <v>214</v>
      </c>
      <c r="M110">
        <v>2019</v>
      </c>
    </row>
    <row r="111" spans="1:15">
      <c r="A111" s="57">
        <v>491</v>
      </c>
      <c r="B111" s="57" t="s">
        <v>10</v>
      </c>
      <c r="C111" s="57">
        <v>1</v>
      </c>
      <c r="D111" s="57" t="s">
        <v>47</v>
      </c>
      <c r="E111" s="57">
        <v>-7.6900300000000001</v>
      </c>
      <c r="F111" s="57">
        <v>-66.073599999999999</v>
      </c>
      <c r="G111" s="57">
        <v>320</v>
      </c>
      <c r="H111" s="57">
        <v>1984</v>
      </c>
      <c r="I111" s="58" t="s">
        <v>170</v>
      </c>
      <c r="M111" t="s">
        <v>327</v>
      </c>
    </row>
    <row r="112" spans="1:15">
      <c r="A112" s="49">
        <v>493</v>
      </c>
      <c r="B112" s="49" t="s">
        <v>10</v>
      </c>
      <c r="C112" s="49">
        <v>1</v>
      </c>
      <c r="D112" s="49" t="s">
        <v>47</v>
      </c>
      <c r="E112" s="49">
        <v>-8.5594900000000003</v>
      </c>
      <c r="F112" s="49">
        <v>-67.368899999999996</v>
      </c>
      <c r="G112" s="49">
        <v>220</v>
      </c>
      <c r="H112" s="49">
        <v>1995</v>
      </c>
      <c r="I112" s="53" t="s">
        <v>259</v>
      </c>
      <c r="M112">
        <v>2003</v>
      </c>
    </row>
    <row r="113" spans="1:20">
      <c r="A113" s="49">
        <v>494</v>
      </c>
      <c r="B113" s="49" t="s">
        <v>10</v>
      </c>
      <c r="C113" s="49">
        <v>1</v>
      </c>
      <c r="D113" s="49" t="s">
        <v>47</v>
      </c>
      <c r="E113" s="49">
        <v>-7.8273900000000003</v>
      </c>
      <c r="F113" s="49">
        <v>-67.090299999999999</v>
      </c>
      <c r="G113" s="49">
        <v>300</v>
      </c>
      <c r="H113" s="49">
        <v>1993</v>
      </c>
      <c r="I113" s="53" t="s">
        <v>260</v>
      </c>
      <c r="M113">
        <v>1997</v>
      </c>
    </row>
    <row r="114" spans="1:20" ht="27">
      <c r="A114" s="60">
        <v>495</v>
      </c>
      <c r="B114" s="60" t="s">
        <v>10</v>
      </c>
      <c r="C114" s="60">
        <v>1</v>
      </c>
      <c r="D114" s="60" t="s">
        <v>47</v>
      </c>
      <c r="E114" s="60">
        <v>-7.5532899999999996</v>
      </c>
      <c r="F114" s="60">
        <v>-65.363100000000003</v>
      </c>
      <c r="G114" s="60">
        <v>340</v>
      </c>
      <c r="H114" s="60">
        <v>1988</v>
      </c>
      <c r="I114" s="61" t="s">
        <v>261</v>
      </c>
      <c r="M114" t="s">
        <v>327</v>
      </c>
    </row>
    <row r="115" spans="1:20">
      <c r="A115" s="57">
        <v>497</v>
      </c>
      <c r="B115" s="57" t="s">
        <v>10</v>
      </c>
      <c r="C115" s="57">
        <v>1</v>
      </c>
      <c r="D115" s="57" t="s">
        <v>47</v>
      </c>
      <c r="E115" s="57">
        <v>-8.7926800000000007</v>
      </c>
      <c r="F115" s="57">
        <v>-69.144599999999997</v>
      </c>
      <c r="G115" s="57">
        <v>200</v>
      </c>
      <c r="H115" s="57">
        <v>1996</v>
      </c>
      <c r="I115" s="58" t="s">
        <v>170</v>
      </c>
      <c r="M115" t="s">
        <v>326</v>
      </c>
    </row>
    <row r="116" spans="1:20">
      <c r="A116" s="57">
        <v>498</v>
      </c>
      <c r="B116" s="57" t="s">
        <v>12</v>
      </c>
      <c r="C116" s="57">
        <v>0</v>
      </c>
      <c r="D116" s="57" t="s">
        <v>47</v>
      </c>
      <c r="E116" s="57">
        <v>-8.8239300000000007</v>
      </c>
      <c r="F116" s="57">
        <v>-69.183099999999996</v>
      </c>
      <c r="G116" s="57">
        <v>200</v>
      </c>
      <c r="H116" s="57">
        <v>2016</v>
      </c>
      <c r="I116" s="58" t="s">
        <v>170</v>
      </c>
      <c r="M116" t="s">
        <v>327</v>
      </c>
    </row>
    <row r="117" spans="1:20" ht="27">
      <c r="A117" s="60">
        <v>500</v>
      </c>
      <c r="B117" s="60" t="s">
        <v>10</v>
      </c>
      <c r="C117" s="60">
        <v>1</v>
      </c>
      <c r="D117" s="60" t="s">
        <v>47</v>
      </c>
      <c r="E117" s="60">
        <v>-8.8601399999999995</v>
      </c>
      <c r="F117" s="60">
        <v>-67.611199999999997</v>
      </c>
      <c r="G117" s="60">
        <v>220</v>
      </c>
      <c r="H117" s="60">
        <v>1998</v>
      </c>
      <c r="I117" s="61" t="s">
        <v>257</v>
      </c>
      <c r="M117" t="s">
        <v>327</v>
      </c>
    </row>
    <row r="118" spans="1:20">
      <c r="A118" s="57">
        <v>504</v>
      </c>
      <c r="B118" s="57" t="s">
        <v>10</v>
      </c>
      <c r="C118" s="57">
        <v>1</v>
      </c>
      <c r="D118" s="57" t="s">
        <v>47</v>
      </c>
      <c r="E118" s="57">
        <v>-9.4843399999999995</v>
      </c>
      <c r="F118" s="57">
        <v>-70.513099999999994</v>
      </c>
      <c r="G118" s="57">
        <v>200</v>
      </c>
      <c r="H118" s="57">
        <v>2005</v>
      </c>
      <c r="I118" s="58" t="s">
        <v>170</v>
      </c>
      <c r="M118">
        <v>2012</v>
      </c>
    </row>
    <row r="119" spans="1:20">
      <c r="A119" s="49">
        <v>509</v>
      </c>
      <c r="B119" s="49" t="s">
        <v>10</v>
      </c>
      <c r="C119" s="49">
        <v>1</v>
      </c>
      <c r="D119" s="49" t="s">
        <v>47</v>
      </c>
      <c r="E119" s="49">
        <v>-8.8037799999999997</v>
      </c>
      <c r="F119" s="49">
        <v>-67.463200000000001</v>
      </c>
      <c r="G119" s="49">
        <v>220</v>
      </c>
      <c r="H119" s="49">
        <v>2013</v>
      </c>
      <c r="I119" s="53" t="s">
        <v>258</v>
      </c>
      <c r="M119" t="s">
        <v>326</v>
      </c>
    </row>
    <row r="120" spans="1:20">
      <c r="A120" s="57">
        <v>512</v>
      </c>
      <c r="B120" s="57" t="s">
        <v>12</v>
      </c>
      <c r="C120" s="57">
        <v>0</v>
      </c>
      <c r="D120" s="57" t="s">
        <v>47</v>
      </c>
      <c r="E120" s="57">
        <v>-9.5093099999999993</v>
      </c>
      <c r="F120" s="57">
        <v>-70.532499999999999</v>
      </c>
      <c r="G120" s="57">
        <v>200</v>
      </c>
      <c r="H120" s="57">
        <v>2011</v>
      </c>
      <c r="I120" s="58" t="s">
        <v>170</v>
      </c>
      <c r="M120" t="s">
        <v>326</v>
      </c>
    </row>
    <row r="121" spans="1:20">
      <c r="A121" s="49">
        <v>513</v>
      </c>
      <c r="B121" s="49" t="s">
        <v>12</v>
      </c>
      <c r="C121" s="49">
        <v>0</v>
      </c>
      <c r="D121" s="49" t="s">
        <v>46</v>
      </c>
      <c r="E121" s="49">
        <v>-13.809699999999999</v>
      </c>
      <c r="F121" s="49">
        <v>-67.522599999999997</v>
      </c>
      <c r="G121" s="49">
        <v>300</v>
      </c>
      <c r="H121" s="49">
        <v>2015</v>
      </c>
      <c r="I121" s="53" t="s">
        <v>215</v>
      </c>
      <c r="M121">
        <v>2020</v>
      </c>
    </row>
    <row r="122" spans="1:20">
      <c r="A122" s="54">
        <v>533</v>
      </c>
      <c r="B122" s="54" t="s">
        <v>10</v>
      </c>
      <c r="C122" s="54">
        <v>1</v>
      </c>
      <c r="D122" s="54" t="s">
        <v>147</v>
      </c>
      <c r="E122" s="54">
        <v>-7.2567599999999999</v>
      </c>
      <c r="F122" s="54">
        <v>-75.098399999999998</v>
      </c>
      <c r="G122" s="54">
        <v>780</v>
      </c>
      <c r="H122" s="54">
        <v>1995</v>
      </c>
      <c r="I122" s="55" t="s">
        <v>189</v>
      </c>
      <c r="M122">
        <v>1998</v>
      </c>
      <c r="O122" s="24" t="s">
        <v>333</v>
      </c>
      <c r="P122" s="24"/>
      <c r="Q122" s="24"/>
      <c r="R122" s="24"/>
      <c r="S122" s="24"/>
      <c r="T122" s="24"/>
    </row>
    <row r="123" spans="1:20">
      <c r="A123" s="49">
        <v>535</v>
      </c>
      <c r="B123" s="49" t="s">
        <v>12</v>
      </c>
      <c r="C123" s="49">
        <v>0</v>
      </c>
      <c r="D123" s="49" t="s">
        <v>42</v>
      </c>
      <c r="E123" s="49">
        <v>-7.18865</v>
      </c>
      <c r="F123" s="49">
        <v>-75.2179</v>
      </c>
      <c r="G123" s="49">
        <v>1200</v>
      </c>
      <c r="H123" s="49">
        <v>2016</v>
      </c>
      <c r="I123" s="53" t="s">
        <v>193</v>
      </c>
      <c r="M123">
        <v>2024</v>
      </c>
    </row>
    <row r="124" spans="1:20">
      <c r="A124" s="49">
        <v>537</v>
      </c>
      <c r="B124" s="49" t="s">
        <v>10</v>
      </c>
      <c r="C124" s="49">
        <v>1</v>
      </c>
      <c r="D124" s="49" t="s">
        <v>49</v>
      </c>
      <c r="E124" s="49">
        <v>-8.0824700000000007</v>
      </c>
      <c r="F124" s="49">
        <v>-74.703800000000001</v>
      </c>
      <c r="G124" s="49">
        <v>220</v>
      </c>
      <c r="H124" s="49">
        <v>1996</v>
      </c>
      <c r="I124" s="53" t="s">
        <v>186</v>
      </c>
      <c r="M124" t="s">
        <v>327</v>
      </c>
    </row>
    <row r="125" spans="1:20">
      <c r="A125" s="49">
        <v>539</v>
      </c>
      <c r="B125" s="49" t="s">
        <v>10</v>
      </c>
      <c r="C125" s="49">
        <v>1</v>
      </c>
      <c r="D125" s="49" t="s">
        <v>49</v>
      </c>
      <c r="E125" s="49">
        <v>-8.30837</v>
      </c>
      <c r="F125" s="49">
        <v>-74.898300000000006</v>
      </c>
      <c r="G125" s="49">
        <v>220</v>
      </c>
      <c r="H125" s="49">
        <v>2009</v>
      </c>
      <c r="I125" s="53" t="s">
        <v>185</v>
      </c>
      <c r="M125" t="s">
        <v>326</v>
      </c>
    </row>
    <row r="126" spans="1:20">
      <c r="A126" s="49">
        <v>540</v>
      </c>
      <c r="B126" s="49" t="s">
        <v>10</v>
      </c>
      <c r="C126" s="49">
        <v>1</v>
      </c>
      <c r="D126" s="49" t="s">
        <v>49</v>
      </c>
      <c r="E126" s="49">
        <v>-8.3318700000000003</v>
      </c>
      <c r="F126" s="49">
        <v>-74.951599999999999</v>
      </c>
      <c r="G126" s="49">
        <v>220</v>
      </c>
      <c r="H126" s="49">
        <v>2018</v>
      </c>
      <c r="I126" s="53" t="s">
        <v>184</v>
      </c>
      <c r="M126" t="s">
        <v>327</v>
      </c>
    </row>
    <row r="127" spans="1:20">
      <c r="A127" s="57">
        <v>541</v>
      </c>
      <c r="B127" s="57" t="s">
        <v>10</v>
      </c>
      <c r="C127" s="57">
        <v>1</v>
      </c>
      <c r="D127" s="57" t="s">
        <v>49</v>
      </c>
      <c r="E127" s="57">
        <v>-8.3848699999999994</v>
      </c>
      <c r="F127" s="57">
        <v>-75.034800000000004</v>
      </c>
      <c r="G127" s="57">
        <v>220</v>
      </c>
      <c r="H127" s="57">
        <v>1984</v>
      </c>
      <c r="I127" s="58" t="s">
        <v>183</v>
      </c>
      <c r="M127">
        <v>1985</v>
      </c>
    </row>
    <row r="128" spans="1:20">
      <c r="A128" s="49">
        <v>542</v>
      </c>
      <c r="B128" s="49" t="s">
        <v>10</v>
      </c>
      <c r="C128" s="49">
        <v>1</v>
      </c>
      <c r="D128" s="49" t="s">
        <v>49</v>
      </c>
      <c r="E128" s="49">
        <v>-8.3868100000000005</v>
      </c>
      <c r="F128" s="49">
        <v>-75.048000000000002</v>
      </c>
      <c r="G128" s="49">
        <v>220</v>
      </c>
      <c r="H128" s="49">
        <v>2008</v>
      </c>
      <c r="I128" s="53" t="s">
        <v>182</v>
      </c>
      <c r="M128" t="s">
        <v>326</v>
      </c>
    </row>
    <row r="129" spans="1:13">
      <c r="A129" s="49">
        <v>552</v>
      </c>
      <c r="B129" s="49" t="s">
        <v>10</v>
      </c>
      <c r="C129" s="49">
        <v>1</v>
      </c>
      <c r="D129" s="49" t="s">
        <v>50</v>
      </c>
      <c r="E129" s="49">
        <v>-7.23644</v>
      </c>
      <c r="F129" s="49">
        <v>-75.300399999999996</v>
      </c>
      <c r="G129" s="49">
        <v>280</v>
      </c>
      <c r="H129" s="62">
        <v>2009</v>
      </c>
      <c r="I129" s="53" t="s">
        <v>192</v>
      </c>
      <c r="M129">
        <v>2021</v>
      </c>
    </row>
    <row r="130" spans="1:13">
      <c r="A130" s="57">
        <v>554</v>
      </c>
      <c r="B130" s="57" t="s">
        <v>10</v>
      </c>
      <c r="C130" s="57">
        <v>1</v>
      </c>
      <c r="D130" s="57" t="s">
        <v>50</v>
      </c>
      <c r="E130" s="57">
        <v>-7.2687200000000001</v>
      </c>
      <c r="F130" s="57">
        <v>-75.3703</v>
      </c>
      <c r="G130" s="57">
        <v>200</v>
      </c>
      <c r="H130" s="57">
        <v>1988</v>
      </c>
      <c r="I130" s="58" t="s">
        <v>170</v>
      </c>
      <c r="M130" t="s">
        <v>327</v>
      </c>
    </row>
    <row r="131" spans="1:13">
      <c r="A131" s="57">
        <v>555</v>
      </c>
      <c r="B131" s="57" t="s">
        <v>10</v>
      </c>
      <c r="C131" s="57">
        <v>1</v>
      </c>
      <c r="D131" s="57" t="s">
        <v>50</v>
      </c>
      <c r="E131" s="57">
        <v>-7.2676600000000002</v>
      </c>
      <c r="F131" s="57">
        <v>-75.405199999999994</v>
      </c>
      <c r="G131" s="57">
        <v>200</v>
      </c>
      <c r="H131" s="57">
        <v>1988</v>
      </c>
      <c r="I131" s="58" t="s">
        <v>170</v>
      </c>
      <c r="M131" t="s">
        <v>327</v>
      </c>
    </row>
    <row r="132" spans="1:13">
      <c r="A132" s="57">
        <v>557</v>
      </c>
      <c r="B132" s="57" t="s">
        <v>12</v>
      </c>
      <c r="C132" s="57">
        <v>0</v>
      </c>
      <c r="D132" s="57" t="s">
        <v>50</v>
      </c>
      <c r="E132" s="57">
        <v>-7.3009700000000004</v>
      </c>
      <c r="F132" s="57">
        <v>-75.492699999999999</v>
      </c>
      <c r="G132" s="57">
        <v>200</v>
      </c>
      <c r="H132" s="57">
        <v>1997</v>
      </c>
      <c r="I132" s="58" t="s">
        <v>190</v>
      </c>
      <c r="M132" t="s">
        <v>327</v>
      </c>
    </row>
    <row r="133" spans="1:13">
      <c r="A133" s="57">
        <v>558</v>
      </c>
      <c r="B133" s="57" t="s">
        <v>10</v>
      </c>
      <c r="C133" s="57">
        <v>1</v>
      </c>
      <c r="D133" s="57" t="s">
        <v>50</v>
      </c>
      <c r="E133" s="57">
        <v>-7.3024100000000001</v>
      </c>
      <c r="F133" s="57">
        <v>-75.462100000000007</v>
      </c>
      <c r="G133" s="57">
        <v>200</v>
      </c>
      <c r="H133" s="57">
        <v>2007</v>
      </c>
      <c r="I133" s="58" t="s">
        <v>191</v>
      </c>
      <c r="M133" t="s">
        <v>326</v>
      </c>
    </row>
    <row r="134" spans="1:13">
      <c r="A134" s="49">
        <v>559</v>
      </c>
      <c r="B134" s="49" t="s">
        <v>10</v>
      </c>
      <c r="C134" s="49">
        <v>1</v>
      </c>
      <c r="D134" s="49" t="s">
        <v>51</v>
      </c>
      <c r="E134" s="49">
        <v>-5.5848000000000004</v>
      </c>
      <c r="F134" s="49">
        <v>-74.628100000000003</v>
      </c>
      <c r="G134" s="49">
        <v>440</v>
      </c>
      <c r="H134" s="49">
        <v>2008</v>
      </c>
      <c r="I134" s="53" t="s">
        <v>197</v>
      </c>
      <c r="M134">
        <v>2011</v>
      </c>
    </row>
    <row r="135" spans="1:13" ht="27">
      <c r="A135" s="60">
        <v>560</v>
      </c>
      <c r="B135" s="60" t="s">
        <v>12</v>
      </c>
      <c r="C135" s="60">
        <v>0</v>
      </c>
      <c r="D135" s="60" t="s">
        <v>42</v>
      </c>
      <c r="E135" s="60">
        <v>-5.7515700000000001</v>
      </c>
      <c r="F135" s="60">
        <v>-74.455699999999993</v>
      </c>
      <c r="G135" s="60">
        <v>440</v>
      </c>
      <c r="H135" s="60">
        <v>2007</v>
      </c>
      <c r="I135" s="61" t="s">
        <v>194</v>
      </c>
      <c r="M135" t="s">
        <v>326</v>
      </c>
    </row>
    <row r="136" spans="1:13">
      <c r="A136" s="54">
        <v>561</v>
      </c>
      <c r="B136" s="54" t="s">
        <v>12</v>
      </c>
      <c r="C136" s="54">
        <v>0</v>
      </c>
      <c r="D136" s="54" t="s">
        <v>42</v>
      </c>
      <c r="E136" s="54">
        <v>-5.6975199999999999</v>
      </c>
      <c r="F136" s="54">
        <v>-74.256100000000004</v>
      </c>
      <c r="G136" s="54">
        <v>440</v>
      </c>
      <c r="H136" s="54">
        <v>1997</v>
      </c>
      <c r="I136" s="55" t="s">
        <v>195</v>
      </c>
      <c r="M136" t="s">
        <v>327</v>
      </c>
    </row>
    <row r="137" spans="1:13">
      <c r="A137" s="57">
        <v>563</v>
      </c>
      <c r="B137" s="57" t="s">
        <v>10</v>
      </c>
      <c r="C137" s="57">
        <v>1</v>
      </c>
      <c r="D137" s="57" t="s">
        <v>42</v>
      </c>
      <c r="E137" s="57">
        <v>-7.2947100000000002</v>
      </c>
      <c r="F137" s="57">
        <v>-75.544499999999999</v>
      </c>
      <c r="G137" s="63">
        <v>200</v>
      </c>
      <c r="H137" s="63">
        <v>1991</v>
      </c>
      <c r="I137" s="58" t="s">
        <v>170</v>
      </c>
      <c r="M137">
        <v>2003</v>
      </c>
    </row>
    <row r="138" spans="1:13">
      <c r="A138" s="54">
        <v>568</v>
      </c>
      <c r="B138" s="54" t="s">
        <v>12</v>
      </c>
      <c r="C138" s="54">
        <v>0</v>
      </c>
      <c r="D138" s="54" t="s">
        <v>42</v>
      </c>
      <c r="E138" s="54">
        <v>-6.1965199999999996</v>
      </c>
      <c r="F138" s="54">
        <v>-75.127899999999997</v>
      </c>
      <c r="G138" s="54">
        <v>740</v>
      </c>
      <c r="H138" s="54">
        <v>2015</v>
      </c>
      <c r="I138" s="55" t="s">
        <v>196</v>
      </c>
      <c r="M138" t="s">
        <v>327</v>
      </c>
    </row>
    <row r="139" spans="1:13">
      <c r="A139" s="54">
        <v>569</v>
      </c>
      <c r="B139" s="54" t="s">
        <v>10</v>
      </c>
      <c r="C139" s="54">
        <v>1</v>
      </c>
      <c r="D139" s="54" t="s">
        <v>51</v>
      </c>
      <c r="E139" s="54">
        <v>-5.1410900000000002</v>
      </c>
      <c r="F139" s="54">
        <v>-74.185100000000006</v>
      </c>
      <c r="G139" s="54">
        <v>420</v>
      </c>
      <c r="H139" s="54">
        <v>2001</v>
      </c>
      <c r="I139" s="55" t="s">
        <v>199</v>
      </c>
      <c r="J139" s="59" t="s">
        <v>200</v>
      </c>
      <c r="M139">
        <v>2007</v>
      </c>
    </row>
    <row r="140" spans="1:13" ht="27">
      <c r="A140" s="60">
        <v>571</v>
      </c>
      <c r="B140" s="60" t="s">
        <v>10</v>
      </c>
      <c r="C140" s="60">
        <v>1</v>
      </c>
      <c r="D140" s="60" t="s">
        <v>51</v>
      </c>
      <c r="E140" s="60">
        <v>-5.1764400000000004</v>
      </c>
      <c r="F140" s="60">
        <v>-74.282700000000006</v>
      </c>
      <c r="G140" s="60">
        <v>420</v>
      </c>
      <c r="H140" s="60">
        <v>2011</v>
      </c>
      <c r="I140" s="61" t="s">
        <v>198</v>
      </c>
      <c r="M140" t="s">
        <v>326</v>
      </c>
    </row>
    <row r="141" spans="1:13">
      <c r="A141" s="57">
        <v>574</v>
      </c>
      <c r="B141" s="57" t="s">
        <v>10</v>
      </c>
      <c r="C141" s="57">
        <v>1</v>
      </c>
      <c r="D141" s="57" t="s">
        <v>53</v>
      </c>
      <c r="E141" s="57">
        <v>-7.30253</v>
      </c>
      <c r="F141" s="57">
        <v>-75.5839</v>
      </c>
      <c r="G141" s="57">
        <v>200</v>
      </c>
      <c r="H141" s="57">
        <v>1987</v>
      </c>
      <c r="I141" s="58" t="s">
        <v>170</v>
      </c>
      <c r="M141" t="s">
        <v>327</v>
      </c>
    </row>
    <row r="142" spans="1:13">
      <c r="A142" s="49">
        <v>576</v>
      </c>
      <c r="B142" s="49" t="s">
        <v>10</v>
      </c>
      <c r="C142" s="49">
        <v>1</v>
      </c>
      <c r="D142" s="49" t="s">
        <v>54</v>
      </c>
      <c r="E142" s="49">
        <v>-3.5997499999999998</v>
      </c>
      <c r="F142" s="49">
        <v>-74.642499999999998</v>
      </c>
      <c r="G142" s="49">
        <v>240</v>
      </c>
      <c r="H142" s="49">
        <v>2004</v>
      </c>
      <c r="I142" s="53" t="s">
        <v>165</v>
      </c>
      <c r="M142" t="s">
        <v>326</v>
      </c>
    </row>
    <row r="143" spans="1:13">
      <c r="A143" s="57">
        <v>577</v>
      </c>
      <c r="B143" s="57" t="s">
        <v>10</v>
      </c>
      <c r="C143" s="57">
        <v>1</v>
      </c>
      <c r="D143" s="57" t="s">
        <v>54</v>
      </c>
      <c r="E143" s="57">
        <v>-3.4122499999999998</v>
      </c>
      <c r="F143" s="57">
        <v>-74.835700000000003</v>
      </c>
      <c r="G143" s="57">
        <v>240</v>
      </c>
      <c r="H143" s="57">
        <v>1995</v>
      </c>
      <c r="I143" s="58" t="s">
        <v>164</v>
      </c>
      <c r="M143" t="s">
        <v>327</v>
      </c>
    </row>
    <row r="144" spans="1:13">
      <c r="A144" s="54">
        <v>579</v>
      </c>
      <c r="B144" s="54" t="s">
        <v>10</v>
      </c>
      <c r="C144" s="54">
        <v>1</v>
      </c>
      <c r="D144" s="54" t="s">
        <v>42</v>
      </c>
      <c r="E144" s="54">
        <v>-4.6706500000000002</v>
      </c>
      <c r="F144" s="54">
        <v>-73.569100000000006</v>
      </c>
      <c r="G144" s="54">
        <v>900</v>
      </c>
      <c r="H144" s="54">
        <v>1997</v>
      </c>
      <c r="I144" s="55" t="s">
        <v>201</v>
      </c>
      <c r="M144" t="s">
        <v>326</v>
      </c>
    </row>
    <row r="145" spans="1:13">
      <c r="A145" s="49">
        <v>583</v>
      </c>
      <c r="B145" s="49" t="s">
        <v>10</v>
      </c>
      <c r="C145" s="49">
        <v>1</v>
      </c>
      <c r="D145" s="49" t="s">
        <v>55</v>
      </c>
      <c r="E145" s="49">
        <v>-5.9865700000000004</v>
      </c>
      <c r="F145" s="49">
        <v>-76.043099999999995</v>
      </c>
      <c r="G145" s="49">
        <v>440</v>
      </c>
      <c r="H145" s="49">
        <v>1986</v>
      </c>
      <c r="I145" s="53" t="s">
        <v>169</v>
      </c>
      <c r="M145">
        <v>1991</v>
      </c>
    </row>
    <row r="146" spans="1:13">
      <c r="A146" s="49">
        <v>588</v>
      </c>
      <c r="B146" s="49" t="s">
        <v>10</v>
      </c>
      <c r="C146" s="49">
        <v>1</v>
      </c>
      <c r="D146" s="49" t="s">
        <v>55</v>
      </c>
      <c r="E146" s="49">
        <v>-6.2985800000000003</v>
      </c>
      <c r="F146" s="49">
        <v>-75.705100000000002</v>
      </c>
      <c r="G146" s="49">
        <v>440</v>
      </c>
      <c r="H146" s="49">
        <v>2011</v>
      </c>
      <c r="I146" s="53" t="s">
        <v>168</v>
      </c>
      <c r="M146" t="s">
        <v>326</v>
      </c>
    </row>
    <row r="147" spans="1:13">
      <c r="A147" s="49">
        <v>589</v>
      </c>
      <c r="B147" s="49" t="s">
        <v>10</v>
      </c>
      <c r="C147" s="49">
        <v>1</v>
      </c>
      <c r="D147" s="49" t="s">
        <v>55</v>
      </c>
      <c r="E147" s="49">
        <v>-6.35555</v>
      </c>
      <c r="F147" s="49">
        <v>-75.739599999999996</v>
      </c>
      <c r="G147" s="49">
        <v>440</v>
      </c>
      <c r="H147" s="49">
        <v>1997</v>
      </c>
      <c r="I147" s="53" t="s">
        <v>167</v>
      </c>
      <c r="M147">
        <v>2010</v>
      </c>
    </row>
    <row r="148" spans="1:13">
      <c r="A148" s="54">
        <v>590</v>
      </c>
      <c r="B148" s="54" t="s">
        <v>12</v>
      </c>
      <c r="C148" s="54">
        <v>0</v>
      </c>
      <c r="D148" s="54" t="s">
        <v>55</v>
      </c>
      <c r="E148" s="54">
        <v>-6.4314400000000003</v>
      </c>
      <c r="F148" s="54">
        <v>-75.8309</v>
      </c>
      <c r="G148" s="54">
        <v>420</v>
      </c>
      <c r="H148" s="54">
        <v>1999</v>
      </c>
      <c r="I148" s="55" t="s">
        <v>166</v>
      </c>
      <c r="M148" t="s">
        <v>326</v>
      </c>
    </row>
    <row r="149" spans="1:13">
      <c r="A149" s="57">
        <v>606</v>
      </c>
      <c r="B149" s="57" t="s">
        <v>10</v>
      </c>
      <c r="C149" s="57">
        <v>1</v>
      </c>
      <c r="D149" s="57" t="s">
        <v>40</v>
      </c>
      <c r="E149" s="57">
        <v>-7.8097599999999998</v>
      </c>
      <c r="F149" s="57">
        <v>-72.635199999999998</v>
      </c>
      <c r="G149" s="57">
        <v>200</v>
      </c>
      <c r="H149" s="57">
        <v>1994</v>
      </c>
      <c r="I149" s="58" t="s">
        <v>164</v>
      </c>
      <c r="M149" t="s">
        <v>327</v>
      </c>
    </row>
    <row r="150" spans="1:13">
      <c r="A150" s="57">
        <v>607</v>
      </c>
      <c r="B150" s="57" t="s">
        <v>10</v>
      </c>
      <c r="C150" s="57">
        <v>1</v>
      </c>
      <c r="D150" s="57" t="s">
        <v>40</v>
      </c>
      <c r="E150" s="57">
        <v>-7.5382600000000002</v>
      </c>
      <c r="F150" s="57">
        <v>-72.518900000000002</v>
      </c>
      <c r="G150" s="57">
        <v>200</v>
      </c>
      <c r="H150" s="57">
        <v>1984</v>
      </c>
      <c r="I150" s="58" t="s">
        <v>164</v>
      </c>
      <c r="M150" t="s">
        <v>326</v>
      </c>
    </row>
    <row r="151" spans="1:13">
      <c r="A151" s="57">
        <v>608</v>
      </c>
      <c r="B151" s="57" t="s">
        <v>10</v>
      </c>
      <c r="C151" s="57">
        <v>1</v>
      </c>
      <c r="D151" s="57" t="s">
        <v>40</v>
      </c>
      <c r="E151" s="57">
        <v>-7.7752999999999997</v>
      </c>
      <c r="F151" s="57">
        <v>-72.621899999999997</v>
      </c>
      <c r="G151" s="57">
        <v>200</v>
      </c>
      <c r="H151" s="57">
        <v>1990</v>
      </c>
      <c r="I151" s="58" t="s">
        <v>164</v>
      </c>
      <c r="M151" t="s">
        <v>326</v>
      </c>
    </row>
    <row r="152" spans="1:13">
      <c r="A152" s="57">
        <v>609</v>
      </c>
      <c r="B152" s="57" t="s">
        <v>10</v>
      </c>
      <c r="C152" s="57">
        <v>1</v>
      </c>
      <c r="D152" s="57" t="s">
        <v>40</v>
      </c>
      <c r="E152" s="57">
        <v>-7.6812899999999997</v>
      </c>
      <c r="F152" s="57">
        <v>-72.656300000000002</v>
      </c>
      <c r="G152" s="57">
        <v>200</v>
      </c>
      <c r="H152" s="57">
        <v>1986</v>
      </c>
      <c r="I152" s="58" t="s">
        <v>164</v>
      </c>
      <c r="M152" t="s">
        <v>326</v>
      </c>
    </row>
    <row r="153" spans="1:13">
      <c r="A153" s="49">
        <v>610</v>
      </c>
      <c r="B153" s="49" t="s">
        <v>10</v>
      </c>
      <c r="C153" s="49">
        <v>1</v>
      </c>
      <c r="D153" s="49" t="s">
        <v>40</v>
      </c>
      <c r="E153" s="49">
        <v>-7.5352499999999996</v>
      </c>
      <c r="F153" s="49">
        <v>-72.547300000000007</v>
      </c>
      <c r="G153" s="49">
        <v>200</v>
      </c>
      <c r="H153" s="49">
        <v>1995</v>
      </c>
      <c r="I153" s="53" t="s">
        <v>262</v>
      </c>
      <c r="M153">
        <v>2015</v>
      </c>
    </row>
    <row r="154" spans="1:13">
      <c r="A154" s="49">
        <v>611</v>
      </c>
      <c r="B154" s="49" t="s">
        <v>10</v>
      </c>
      <c r="C154" s="49">
        <v>1</v>
      </c>
      <c r="D154" s="49" t="s">
        <v>40</v>
      </c>
      <c r="E154" s="49">
        <v>-7.3746499999999999</v>
      </c>
      <c r="F154" s="49">
        <v>-72.362700000000004</v>
      </c>
      <c r="G154" s="49">
        <v>200</v>
      </c>
      <c r="H154" s="49">
        <v>1999</v>
      </c>
      <c r="I154" s="53" t="s">
        <v>264</v>
      </c>
      <c r="M154" t="s">
        <v>327</v>
      </c>
    </row>
    <row r="155" spans="1:13">
      <c r="A155" s="57">
        <v>612</v>
      </c>
      <c r="B155" s="57" t="s">
        <v>10</v>
      </c>
      <c r="C155" s="57">
        <v>1</v>
      </c>
      <c r="D155" s="57" t="s">
        <v>40</v>
      </c>
      <c r="E155" s="57">
        <v>-7.5246399999999998</v>
      </c>
      <c r="F155" s="57">
        <v>-72.538700000000006</v>
      </c>
      <c r="G155" s="57">
        <v>200</v>
      </c>
      <c r="H155" s="57">
        <v>2013</v>
      </c>
      <c r="I155" s="58" t="s">
        <v>164</v>
      </c>
      <c r="M155">
        <v>2017</v>
      </c>
    </row>
    <row r="156" spans="1:13">
      <c r="A156" s="57">
        <v>613</v>
      </c>
      <c r="B156" s="57" t="s">
        <v>10</v>
      </c>
      <c r="C156" s="57">
        <v>1</v>
      </c>
      <c r="D156" s="57" t="s">
        <v>40</v>
      </c>
      <c r="E156" s="57">
        <v>-7.2599799999999997</v>
      </c>
      <c r="F156" s="57">
        <v>-72.336100000000002</v>
      </c>
      <c r="G156" s="57">
        <v>200</v>
      </c>
      <c r="H156" s="57">
        <v>1992</v>
      </c>
      <c r="I156" s="58" t="s">
        <v>164</v>
      </c>
      <c r="M156" t="s">
        <v>327</v>
      </c>
    </row>
    <row r="157" spans="1:13">
      <c r="A157" s="49">
        <v>614</v>
      </c>
      <c r="B157" s="49" t="s">
        <v>10</v>
      </c>
      <c r="C157" s="49">
        <v>1</v>
      </c>
      <c r="D157" s="49" t="s">
        <v>40</v>
      </c>
      <c r="E157" s="49">
        <v>-7.3534300000000004</v>
      </c>
      <c r="F157" s="49">
        <v>-72.368799999999993</v>
      </c>
      <c r="G157" s="49">
        <v>200</v>
      </c>
      <c r="H157" s="49">
        <v>1994</v>
      </c>
      <c r="I157" s="53" t="s">
        <v>265</v>
      </c>
      <c r="M157" t="s">
        <v>327</v>
      </c>
    </row>
    <row r="158" spans="1:13">
      <c r="A158" s="57">
        <v>615</v>
      </c>
      <c r="B158" s="57" t="s">
        <v>10</v>
      </c>
      <c r="C158" s="57">
        <v>1</v>
      </c>
      <c r="D158" s="57" t="s">
        <v>40</v>
      </c>
      <c r="E158" s="57">
        <v>-7.1438899999999999</v>
      </c>
      <c r="F158" s="57">
        <v>-71.792000000000002</v>
      </c>
      <c r="G158" s="57">
        <v>200</v>
      </c>
      <c r="H158" s="57">
        <v>2008</v>
      </c>
      <c r="I158" s="58" t="s">
        <v>164</v>
      </c>
      <c r="M158" t="s">
        <v>327</v>
      </c>
    </row>
    <row r="159" spans="1:13">
      <c r="A159" s="49">
        <v>616</v>
      </c>
      <c r="B159" s="49" t="s">
        <v>10</v>
      </c>
      <c r="C159" s="49">
        <v>1</v>
      </c>
      <c r="D159" s="49" t="s">
        <v>40</v>
      </c>
      <c r="E159" s="49">
        <v>-7.4611700000000001</v>
      </c>
      <c r="F159" s="49">
        <v>-72.446899999999999</v>
      </c>
      <c r="G159" s="49">
        <v>200</v>
      </c>
      <c r="H159" s="49">
        <v>2005</v>
      </c>
      <c r="I159" s="53" t="s">
        <v>263</v>
      </c>
      <c r="M159">
        <v>2013</v>
      </c>
    </row>
    <row r="160" spans="1:13">
      <c r="A160" s="57">
        <v>617</v>
      </c>
      <c r="B160" s="57" t="s">
        <v>12</v>
      </c>
      <c r="C160" s="57">
        <v>0</v>
      </c>
      <c r="D160" s="57" t="s">
        <v>40</v>
      </c>
      <c r="E160" s="57">
        <v>-7.2452399999999999</v>
      </c>
      <c r="F160" s="57">
        <v>-72.218299999999999</v>
      </c>
      <c r="G160" s="57">
        <v>200</v>
      </c>
      <c r="H160" s="57">
        <v>1986</v>
      </c>
      <c r="I160" s="58" t="s">
        <v>164</v>
      </c>
      <c r="M160" t="s">
        <v>327</v>
      </c>
    </row>
    <row r="161" spans="1:13">
      <c r="A161" s="49">
        <v>619</v>
      </c>
      <c r="B161" s="49" t="s">
        <v>10</v>
      </c>
      <c r="C161" s="49">
        <v>1</v>
      </c>
      <c r="D161" s="49" t="s">
        <v>40</v>
      </c>
      <c r="E161" s="49">
        <v>-6.9933399999999999</v>
      </c>
      <c r="F161" s="49">
        <v>-71.472499999999997</v>
      </c>
      <c r="G161" s="49">
        <v>200</v>
      </c>
      <c r="H161" s="49">
        <v>1988</v>
      </c>
      <c r="I161" s="53" t="s">
        <v>266</v>
      </c>
      <c r="M161" t="s">
        <v>327</v>
      </c>
    </row>
    <row r="162" spans="1:13">
      <c r="A162" s="57">
        <v>620</v>
      </c>
      <c r="B162" s="57" t="s">
        <v>12</v>
      </c>
      <c r="C162" s="57">
        <v>0</v>
      </c>
      <c r="D162" s="57" t="s">
        <v>40</v>
      </c>
      <c r="E162" s="57">
        <v>-6.9087399999999999</v>
      </c>
      <c r="F162" s="57">
        <v>-71.144999999999996</v>
      </c>
      <c r="G162" s="57">
        <v>200</v>
      </c>
      <c r="H162" s="57">
        <v>2004</v>
      </c>
      <c r="I162" s="58" t="s">
        <v>164</v>
      </c>
      <c r="M162" t="s">
        <v>326</v>
      </c>
    </row>
    <row r="163" spans="1:13">
      <c r="A163" s="57">
        <v>621</v>
      </c>
      <c r="B163" s="57" t="s">
        <v>10</v>
      </c>
      <c r="C163" s="57">
        <v>1</v>
      </c>
      <c r="D163" s="57" t="s">
        <v>40</v>
      </c>
      <c r="E163" s="57">
        <v>-6.8842400000000001</v>
      </c>
      <c r="F163" s="57">
        <v>-71.111599999999996</v>
      </c>
      <c r="G163" s="57">
        <v>200</v>
      </c>
      <c r="H163" s="57">
        <v>1993</v>
      </c>
      <c r="I163" s="58" t="s">
        <v>164</v>
      </c>
      <c r="M163" t="s">
        <v>326</v>
      </c>
    </row>
    <row r="164" spans="1:13">
      <c r="A164" s="49">
        <v>628</v>
      </c>
      <c r="B164" s="49" t="s">
        <v>10</v>
      </c>
      <c r="C164" s="49">
        <v>1</v>
      </c>
      <c r="D164" s="49" t="s">
        <v>56</v>
      </c>
      <c r="E164" s="49">
        <v>-4.0546600000000002</v>
      </c>
      <c r="F164" s="49">
        <v>-77.200999999999993</v>
      </c>
      <c r="G164" s="49">
        <v>200</v>
      </c>
      <c r="H164" s="49">
        <v>1992</v>
      </c>
      <c r="I164" s="53" t="s">
        <v>163</v>
      </c>
      <c r="M164" t="s">
        <v>326</v>
      </c>
    </row>
    <row r="165" spans="1:13">
      <c r="A165" s="49">
        <v>631</v>
      </c>
      <c r="B165" s="49" t="s">
        <v>10</v>
      </c>
      <c r="C165" s="49">
        <v>1</v>
      </c>
      <c r="D165" s="49" t="s">
        <v>57</v>
      </c>
      <c r="E165" s="49">
        <v>-1.91316</v>
      </c>
      <c r="F165" s="49">
        <v>-75.002399999999994</v>
      </c>
      <c r="G165" s="49">
        <v>200</v>
      </c>
      <c r="H165" s="49">
        <v>2010</v>
      </c>
      <c r="I165" s="53" t="s">
        <v>158</v>
      </c>
      <c r="M165" t="s">
        <v>326</v>
      </c>
    </row>
    <row r="166" spans="1:13">
      <c r="A166" s="49">
        <v>633</v>
      </c>
      <c r="B166" s="49" t="s">
        <v>10</v>
      </c>
      <c r="C166" s="49">
        <v>1</v>
      </c>
      <c r="D166" s="49" t="s">
        <v>57</v>
      </c>
      <c r="E166" s="49">
        <v>-2.2743899999999999</v>
      </c>
      <c r="F166" s="49">
        <v>-74.355000000000004</v>
      </c>
      <c r="G166" s="49">
        <v>200</v>
      </c>
      <c r="H166" s="49">
        <v>1999</v>
      </c>
      <c r="I166" s="53" t="s">
        <v>160</v>
      </c>
      <c r="M166">
        <v>2012</v>
      </c>
    </row>
    <row r="167" spans="1:13">
      <c r="A167" s="49">
        <v>635</v>
      </c>
      <c r="B167" s="49" t="s">
        <v>10</v>
      </c>
      <c r="C167" s="49">
        <v>1</v>
      </c>
      <c r="D167" s="49" t="s">
        <v>57</v>
      </c>
      <c r="E167" s="49">
        <v>-2.31487</v>
      </c>
      <c r="F167" s="49">
        <v>-74.163600000000002</v>
      </c>
      <c r="G167" s="49">
        <v>200</v>
      </c>
      <c r="H167" s="49">
        <v>2015</v>
      </c>
      <c r="I167" s="53" t="s">
        <v>162</v>
      </c>
      <c r="M167" t="s">
        <v>326</v>
      </c>
    </row>
    <row r="168" spans="1:13">
      <c r="A168" s="49">
        <v>636</v>
      </c>
      <c r="B168" s="49" t="s">
        <v>10</v>
      </c>
      <c r="C168" s="49">
        <v>1</v>
      </c>
      <c r="D168" s="49" t="s">
        <v>57</v>
      </c>
      <c r="E168" s="49">
        <v>-2.2909999999999999</v>
      </c>
      <c r="F168" s="49">
        <v>-74.261700000000005</v>
      </c>
      <c r="G168" s="49">
        <v>200</v>
      </c>
      <c r="H168" s="49">
        <v>1990</v>
      </c>
      <c r="I168" s="53" t="s">
        <v>161</v>
      </c>
      <c r="M168" t="s">
        <v>326</v>
      </c>
    </row>
    <row r="169" spans="1:13">
      <c r="A169" s="49">
        <v>640</v>
      </c>
      <c r="B169" s="49" t="s">
        <v>10</v>
      </c>
      <c r="C169" s="49">
        <v>1</v>
      </c>
      <c r="D169" s="49" t="s">
        <v>57</v>
      </c>
      <c r="E169" s="49">
        <v>-2.1999399999999998</v>
      </c>
      <c r="F169" s="49">
        <v>-74.539299999999997</v>
      </c>
      <c r="G169" s="49">
        <v>200</v>
      </c>
      <c r="H169" s="49">
        <v>1999</v>
      </c>
      <c r="I169" s="53" t="s">
        <v>159</v>
      </c>
      <c r="M169" t="s">
        <v>327</v>
      </c>
    </row>
    <row r="170" spans="1:13">
      <c r="A170" s="51">
        <v>708</v>
      </c>
      <c r="B170" s="51" t="s">
        <v>10</v>
      </c>
      <c r="C170" s="51">
        <v>1</v>
      </c>
      <c r="D170" s="51" t="s">
        <v>58</v>
      </c>
      <c r="E170" s="51">
        <v>2.8746200000000002</v>
      </c>
      <c r="F170" s="51">
        <v>-71.827399999999997</v>
      </c>
      <c r="G170" s="51">
        <v>400</v>
      </c>
      <c r="H170" s="51">
        <v>2010</v>
      </c>
      <c r="I170" s="64" t="s">
        <v>203</v>
      </c>
      <c r="M170" t="s">
        <v>326</v>
      </c>
    </row>
    <row r="171" spans="1:13">
      <c r="A171" s="51">
        <v>709</v>
      </c>
      <c r="B171" s="51" t="s">
        <v>10</v>
      </c>
      <c r="C171" s="51">
        <v>1</v>
      </c>
      <c r="D171" s="51" t="s">
        <v>58</v>
      </c>
      <c r="E171" s="51">
        <v>2.7967</v>
      </c>
      <c r="F171" s="51">
        <v>-70.871399999999994</v>
      </c>
      <c r="G171" s="51">
        <v>400</v>
      </c>
      <c r="H171" s="51">
        <v>1992</v>
      </c>
      <c r="I171" s="64"/>
      <c r="M171">
        <v>2007</v>
      </c>
    </row>
    <row r="172" spans="1:13">
      <c r="A172" s="51">
        <v>710</v>
      </c>
      <c r="B172" s="51" t="s">
        <v>10</v>
      </c>
      <c r="C172" s="51">
        <v>1</v>
      </c>
      <c r="D172" s="51" t="s">
        <v>58</v>
      </c>
      <c r="E172" s="51">
        <v>3.67923</v>
      </c>
      <c r="F172" s="51">
        <v>-69.569000000000003</v>
      </c>
      <c r="G172" s="51">
        <v>460</v>
      </c>
      <c r="H172" s="51">
        <v>2010</v>
      </c>
      <c r="I172" s="64"/>
      <c r="M172" t="s">
        <v>326</v>
      </c>
    </row>
    <row r="173" spans="1:13">
      <c r="A173" s="51">
        <v>711</v>
      </c>
      <c r="B173" s="51" t="s">
        <v>10</v>
      </c>
      <c r="C173" s="51">
        <v>1</v>
      </c>
      <c r="D173" s="51" t="s">
        <v>58</v>
      </c>
      <c r="E173" s="51">
        <v>3.6937099999999998</v>
      </c>
      <c r="F173" s="51">
        <v>-68.930199999999999</v>
      </c>
      <c r="G173" s="51">
        <v>460</v>
      </c>
      <c r="H173" s="51">
        <v>2005</v>
      </c>
      <c r="I173" s="64"/>
      <c r="M173" t="s">
        <v>326</v>
      </c>
    </row>
    <row r="174" spans="1:13">
      <c r="A174" s="51">
        <v>712</v>
      </c>
      <c r="B174" s="51" t="s">
        <v>10</v>
      </c>
      <c r="C174" s="51">
        <v>1</v>
      </c>
      <c r="D174" s="51" t="s">
        <v>58</v>
      </c>
      <c r="E174" s="51">
        <v>3.9923799999999998</v>
      </c>
      <c r="F174" s="51">
        <v>-68.207700000000003</v>
      </c>
      <c r="G174" s="51">
        <v>500</v>
      </c>
      <c r="H174" s="51">
        <v>1995</v>
      </c>
      <c r="I174" s="64"/>
      <c r="M174" t="s">
        <v>326</v>
      </c>
    </row>
    <row r="175" spans="1:13">
      <c r="A175" s="49">
        <v>714</v>
      </c>
      <c r="B175" s="49" t="s">
        <v>12</v>
      </c>
      <c r="C175" s="49">
        <v>0</v>
      </c>
      <c r="D175" s="49" t="s">
        <v>55</v>
      </c>
      <c r="E175" s="49">
        <v>-8.7669499999999996</v>
      </c>
      <c r="F175" s="49">
        <v>-76.236999999999995</v>
      </c>
      <c r="G175" s="49">
        <v>300</v>
      </c>
      <c r="H175" s="49">
        <v>2000</v>
      </c>
      <c r="I175" s="53" t="s">
        <v>171</v>
      </c>
      <c r="M175" t="s">
        <v>326</v>
      </c>
    </row>
    <row r="176" spans="1:13">
      <c r="A176" s="57">
        <v>715</v>
      </c>
      <c r="B176" s="57" t="s">
        <v>10</v>
      </c>
      <c r="C176" s="57">
        <v>1</v>
      </c>
      <c r="D176" s="57" t="s">
        <v>55</v>
      </c>
      <c r="E176" s="57">
        <v>-8.7689500000000002</v>
      </c>
      <c r="F176" s="57">
        <v>-76.195599999999999</v>
      </c>
      <c r="G176" s="57">
        <v>300</v>
      </c>
      <c r="H176" s="57">
        <v>2005</v>
      </c>
      <c r="I176" s="58" t="s">
        <v>170</v>
      </c>
      <c r="M176">
        <v>2016</v>
      </c>
    </row>
    <row r="177" spans="1:20">
      <c r="A177" s="57">
        <v>717</v>
      </c>
      <c r="B177" s="57" t="s">
        <v>10</v>
      </c>
      <c r="C177" s="57">
        <v>1</v>
      </c>
      <c r="D177" s="57" t="s">
        <v>55</v>
      </c>
      <c r="E177" s="57">
        <v>-8.6855700000000002</v>
      </c>
      <c r="F177" s="57">
        <v>-76.258899999999997</v>
      </c>
      <c r="G177" s="57">
        <v>220</v>
      </c>
      <c r="H177" s="57">
        <v>1995</v>
      </c>
      <c r="I177" s="58" t="s">
        <v>170</v>
      </c>
      <c r="M177">
        <v>2023</v>
      </c>
    </row>
    <row r="178" spans="1:20">
      <c r="A178" s="49">
        <v>724</v>
      </c>
      <c r="B178" s="49" t="s">
        <v>12</v>
      </c>
      <c r="C178" s="49">
        <v>0</v>
      </c>
      <c r="D178" s="49" t="s">
        <v>59</v>
      </c>
      <c r="E178" s="49">
        <v>-17.277000000000001</v>
      </c>
      <c r="F178" s="49">
        <v>-64.259399999999999</v>
      </c>
      <c r="G178" s="49">
        <v>220</v>
      </c>
      <c r="H178" s="49">
        <v>2014</v>
      </c>
      <c r="I178" s="53" t="s">
        <v>225</v>
      </c>
      <c r="M178">
        <v>2016</v>
      </c>
    </row>
    <row r="179" spans="1:20">
      <c r="A179" s="57">
        <v>725</v>
      </c>
      <c r="B179" s="57" t="s">
        <v>10</v>
      </c>
      <c r="C179" s="57">
        <v>1</v>
      </c>
      <c r="D179" s="57" t="s">
        <v>59</v>
      </c>
      <c r="E179" s="57">
        <v>-17.2605</v>
      </c>
      <c r="F179" s="57">
        <v>-64.316299999999998</v>
      </c>
      <c r="G179" s="57">
        <v>220</v>
      </c>
      <c r="H179" s="57">
        <v>2002</v>
      </c>
      <c r="I179" s="58" t="s">
        <v>170</v>
      </c>
      <c r="M179">
        <v>2005</v>
      </c>
    </row>
    <row r="180" spans="1:20">
      <c r="A180" s="57">
        <v>726</v>
      </c>
      <c r="B180" s="57" t="s">
        <v>12</v>
      </c>
      <c r="C180" s="57">
        <v>0</v>
      </c>
      <c r="D180" s="57" t="s">
        <v>59</v>
      </c>
      <c r="E180" s="57">
        <v>-17.264299999999999</v>
      </c>
      <c r="F180" s="57">
        <v>-64.323800000000006</v>
      </c>
      <c r="G180" s="57">
        <v>220</v>
      </c>
      <c r="H180" s="57">
        <v>2013</v>
      </c>
      <c r="I180" s="58" t="s">
        <v>170</v>
      </c>
      <c r="M180" t="s">
        <v>327</v>
      </c>
    </row>
    <row r="181" spans="1:20">
      <c r="A181" s="57">
        <v>727</v>
      </c>
      <c r="B181" s="57" t="s">
        <v>10</v>
      </c>
      <c r="C181" s="57">
        <v>1</v>
      </c>
      <c r="D181" s="57" t="s">
        <v>59</v>
      </c>
      <c r="E181" s="57">
        <v>-17.223400000000002</v>
      </c>
      <c r="F181" s="57">
        <v>-64.356700000000004</v>
      </c>
      <c r="G181" s="57">
        <v>220</v>
      </c>
      <c r="H181" s="57">
        <v>1992</v>
      </c>
      <c r="I181" s="58" t="s">
        <v>170</v>
      </c>
      <c r="M181" t="s">
        <v>327</v>
      </c>
    </row>
    <row r="182" spans="1:20">
      <c r="A182" s="57">
        <v>731</v>
      </c>
      <c r="B182" s="57" t="s">
        <v>10</v>
      </c>
      <c r="C182" s="57">
        <v>1</v>
      </c>
      <c r="D182" s="57" t="s">
        <v>59</v>
      </c>
      <c r="E182" s="57">
        <v>-17.148499999999999</v>
      </c>
      <c r="F182" s="57">
        <v>-64.408000000000001</v>
      </c>
      <c r="G182" s="57">
        <v>220</v>
      </c>
      <c r="H182" s="57">
        <v>2007</v>
      </c>
      <c r="I182" s="58" t="s">
        <v>170</v>
      </c>
      <c r="M182">
        <v>2010</v>
      </c>
    </row>
    <row r="183" spans="1:20">
      <c r="A183" s="57">
        <v>732</v>
      </c>
      <c r="B183" s="57" t="s">
        <v>10</v>
      </c>
      <c r="C183" s="57">
        <v>1</v>
      </c>
      <c r="D183" s="57" t="s">
        <v>59</v>
      </c>
      <c r="E183" s="57">
        <v>-17.1112</v>
      </c>
      <c r="F183" s="57">
        <v>-64.485200000000006</v>
      </c>
      <c r="G183" s="57">
        <v>200</v>
      </c>
      <c r="H183" s="57">
        <v>1992</v>
      </c>
      <c r="I183" s="58" t="s">
        <v>170</v>
      </c>
      <c r="M183" t="s">
        <v>326</v>
      </c>
    </row>
    <row r="184" spans="1:20">
      <c r="A184" s="57">
        <v>733</v>
      </c>
      <c r="B184" s="57" t="s">
        <v>10</v>
      </c>
      <c r="C184" s="57">
        <v>1</v>
      </c>
      <c r="D184" s="57" t="s">
        <v>59</v>
      </c>
      <c r="E184" s="57">
        <v>-17.094899999999999</v>
      </c>
      <c r="F184" s="57">
        <v>-64.514799999999994</v>
      </c>
      <c r="G184" s="57">
        <v>200</v>
      </c>
      <c r="H184" s="57">
        <v>1992</v>
      </c>
      <c r="I184" s="58" t="s">
        <v>170</v>
      </c>
      <c r="M184" t="s">
        <v>326</v>
      </c>
    </row>
    <row r="185" spans="1:20">
      <c r="A185" s="57">
        <v>734</v>
      </c>
      <c r="B185" s="57" t="s">
        <v>10</v>
      </c>
      <c r="C185" s="57">
        <v>1</v>
      </c>
      <c r="D185" s="57" t="s">
        <v>59</v>
      </c>
      <c r="E185" s="57">
        <v>-17.037500000000001</v>
      </c>
      <c r="F185" s="57">
        <v>-64.615700000000004</v>
      </c>
      <c r="G185" s="57">
        <v>200</v>
      </c>
      <c r="H185" s="57">
        <v>2008</v>
      </c>
      <c r="I185" s="58" t="s">
        <v>170</v>
      </c>
      <c r="M185">
        <v>2012</v>
      </c>
      <c r="O185" t="s">
        <v>334</v>
      </c>
    </row>
    <row r="186" spans="1:20">
      <c r="A186" s="57">
        <v>735</v>
      </c>
      <c r="B186" s="57" t="s">
        <v>10</v>
      </c>
      <c r="C186" s="57">
        <v>1</v>
      </c>
      <c r="D186" s="57" t="s">
        <v>59</v>
      </c>
      <c r="E186" s="57">
        <v>-17.0562</v>
      </c>
      <c r="F186" s="57">
        <v>-64.586500000000001</v>
      </c>
      <c r="G186" s="57">
        <v>200</v>
      </c>
      <c r="H186" s="57">
        <v>2015</v>
      </c>
      <c r="I186" s="58" t="s">
        <v>170</v>
      </c>
      <c r="M186">
        <v>2021</v>
      </c>
    </row>
    <row r="187" spans="1:20">
      <c r="A187" s="49">
        <v>741</v>
      </c>
      <c r="B187" s="49" t="s">
        <v>10</v>
      </c>
      <c r="C187" s="49">
        <v>1</v>
      </c>
      <c r="D187" s="49" t="s">
        <v>61</v>
      </c>
      <c r="E187" s="49">
        <v>-16.814900000000002</v>
      </c>
      <c r="F187" s="49">
        <v>-65.016199999999998</v>
      </c>
      <c r="G187" s="49">
        <v>201</v>
      </c>
      <c r="H187" s="49">
        <v>2013</v>
      </c>
      <c r="I187" s="53" t="s">
        <v>230</v>
      </c>
      <c r="M187">
        <v>2017</v>
      </c>
    </row>
    <row r="188" spans="1:20">
      <c r="A188" s="49">
        <v>743</v>
      </c>
      <c r="B188" s="49" t="s">
        <v>12</v>
      </c>
      <c r="C188" s="49">
        <v>0</v>
      </c>
      <c r="D188" s="49" t="s">
        <v>61</v>
      </c>
      <c r="E188" s="49">
        <v>-16.915600000000001</v>
      </c>
      <c r="F188" s="49">
        <v>-65.087999999999994</v>
      </c>
      <c r="G188" s="49">
        <v>201</v>
      </c>
      <c r="H188" s="49">
        <v>2013</v>
      </c>
      <c r="I188" s="53" t="s">
        <v>227</v>
      </c>
      <c r="M188">
        <v>2016</v>
      </c>
      <c r="O188" s="24" t="s">
        <v>335</v>
      </c>
      <c r="P188" s="24"/>
      <c r="Q188" s="24"/>
      <c r="R188" s="24"/>
      <c r="S188" s="24"/>
      <c r="T188" s="24"/>
    </row>
    <row r="189" spans="1:20">
      <c r="A189" s="57">
        <v>745</v>
      </c>
      <c r="B189" s="57" t="s">
        <v>10</v>
      </c>
      <c r="C189" s="57">
        <v>1</v>
      </c>
      <c r="D189" s="57" t="s">
        <v>61</v>
      </c>
      <c r="E189" s="57">
        <v>-16.753799999999998</v>
      </c>
      <c r="F189" s="57">
        <v>-64.880899999999997</v>
      </c>
      <c r="G189" s="57">
        <v>201</v>
      </c>
      <c r="H189" s="57">
        <v>2013</v>
      </c>
      <c r="I189" s="58" t="s">
        <v>170</v>
      </c>
      <c r="M189">
        <v>2018</v>
      </c>
    </row>
    <row r="190" spans="1:20">
      <c r="A190" s="49">
        <v>749</v>
      </c>
      <c r="B190" s="49" t="s">
        <v>10</v>
      </c>
      <c r="C190" s="49">
        <v>1</v>
      </c>
      <c r="D190" s="49" t="s">
        <v>61</v>
      </c>
      <c r="E190" s="49">
        <v>-16.775400000000001</v>
      </c>
      <c r="F190" s="49">
        <v>-64.8964</v>
      </c>
      <c r="G190" s="49">
        <v>201</v>
      </c>
      <c r="H190" s="49">
        <v>1987</v>
      </c>
      <c r="I190" s="53" t="s">
        <v>231</v>
      </c>
      <c r="M190" t="s">
        <v>327</v>
      </c>
    </row>
    <row r="191" spans="1:20">
      <c r="A191" s="49">
        <v>750</v>
      </c>
      <c r="B191" s="49" t="s">
        <v>12</v>
      </c>
      <c r="C191" s="49">
        <v>0</v>
      </c>
      <c r="D191" s="49" t="s">
        <v>61</v>
      </c>
      <c r="E191" s="49">
        <v>-16.863900000000001</v>
      </c>
      <c r="F191" s="49">
        <v>-65.0672</v>
      </c>
      <c r="G191" s="49">
        <v>201</v>
      </c>
      <c r="H191" s="49">
        <v>2010</v>
      </c>
      <c r="I191" s="53" t="s">
        <v>228</v>
      </c>
      <c r="J191" s="49" t="s">
        <v>229</v>
      </c>
      <c r="M191">
        <v>2016</v>
      </c>
    </row>
    <row r="192" spans="1:20">
      <c r="A192" s="57">
        <v>753</v>
      </c>
      <c r="B192" s="57" t="s">
        <v>10</v>
      </c>
      <c r="C192" s="57">
        <v>1</v>
      </c>
      <c r="D192" s="57" t="s">
        <v>59</v>
      </c>
      <c r="E192" s="57">
        <v>-16.767199999999999</v>
      </c>
      <c r="F192" s="57">
        <v>-64.814800000000005</v>
      </c>
      <c r="G192" s="57">
        <v>207</v>
      </c>
      <c r="H192" s="57">
        <v>2001</v>
      </c>
      <c r="I192" s="58" t="s">
        <v>170</v>
      </c>
      <c r="M192">
        <v>2005</v>
      </c>
    </row>
    <row r="193" spans="1:15">
      <c r="A193" s="49">
        <v>757</v>
      </c>
      <c r="B193" s="49" t="s">
        <v>10</v>
      </c>
      <c r="C193" s="49">
        <v>1</v>
      </c>
      <c r="D193" s="49" t="s">
        <v>61</v>
      </c>
      <c r="E193" s="49">
        <v>-16.914200000000001</v>
      </c>
      <c r="F193" s="49">
        <v>-65.086699999999993</v>
      </c>
      <c r="G193" s="49">
        <v>201</v>
      </c>
      <c r="H193" s="49">
        <v>2007</v>
      </c>
      <c r="I193" s="53" t="s">
        <v>226</v>
      </c>
      <c r="M193">
        <v>2010</v>
      </c>
      <c r="O193" t="s">
        <v>336</v>
      </c>
    </row>
    <row r="194" spans="1:15">
      <c r="A194" s="49">
        <v>758</v>
      </c>
      <c r="B194" s="49" t="s">
        <v>10</v>
      </c>
      <c r="C194" s="49">
        <v>1</v>
      </c>
      <c r="D194" s="49" t="s">
        <v>63</v>
      </c>
      <c r="E194" s="49">
        <v>-16.644300000000001</v>
      </c>
      <c r="F194" s="49">
        <v>-64.764799999999994</v>
      </c>
      <c r="G194" s="49">
        <v>274</v>
      </c>
      <c r="H194" s="49">
        <v>1987</v>
      </c>
      <c r="I194" s="53" t="s">
        <v>232</v>
      </c>
      <c r="M194">
        <v>1994</v>
      </c>
    </row>
    <row r="195" spans="1:15">
      <c r="A195" s="49">
        <v>763</v>
      </c>
      <c r="B195" s="49" t="s">
        <v>10</v>
      </c>
      <c r="C195" s="49">
        <v>1</v>
      </c>
      <c r="D195" s="49" t="s">
        <v>63</v>
      </c>
      <c r="E195" s="49">
        <v>-16.168099999999999</v>
      </c>
      <c r="F195" s="49">
        <v>-64.686000000000007</v>
      </c>
      <c r="G195" s="49">
        <v>274</v>
      </c>
      <c r="H195" s="49">
        <v>2013</v>
      </c>
      <c r="I195" s="53" t="s">
        <v>235</v>
      </c>
      <c r="M195" t="s">
        <v>326</v>
      </c>
    </row>
    <row r="196" spans="1:15">
      <c r="A196" s="49">
        <v>767</v>
      </c>
      <c r="B196" s="49" t="s">
        <v>10</v>
      </c>
      <c r="C196" s="49">
        <v>1</v>
      </c>
      <c r="D196" s="49" t="s">
        <v>63</v>
      </c>
      <c r="E196" s="49">
        <v>-16.553899999999999</v>
      </c>
      <c r="F196" s="49">
        <v>-64.759900000000002</v>
      </c>
      <c r="G196" s="49">
        <v>274</v>
      </c>
      <c r="H196" s="49">
        <v>2001</v>
      </c>
      <c r="I196" s="53" t="s">
        <v>233</v>
      </c>
      <c r="M196" t="s">
        <v>327</v>
      </c>
    </row>
    <row r="197" spans="1:15">
      <c r="A197" s="49">
        <v>768</v>
      </c>
      <c r="B197" s="49" t="s">
        <v>10</v>
      </c>
      <c r="C197" s="49">
        <v>1</v>
      </c>
      <c r="D197" s="49" t="s">
        <v>63</v>
      </c>
      <c r="E197" s="49">
        <v>-16.0076</v>
      </c>
      <c r="F197" s="49">
        <v>-64.729200000000006</v>
      </c>
      <c r="G197" s="49">
        <v>274</v>
      </c>
      <c r="H197" s="49">
        <v>2012</v>
      </c>
      <c r="I197" s="53" t="s">
        <v>239</v>
      </c>
      <c r="M197" t="s">
        <v>326</v>
      </c>
    </row>
    <row r="198" spans="1:15">
      <c r="A198" s="49">
        <v>769</v>
      </c>
      <c r="B198" s="49" t="s">
        <v>10</v>
      </c>
      <c r="C198" s="49">
        <v>1</v>
      </c>
      <c r="D198" s="49" t="s">
        <v>63</v>
      </c>
      <c r="E198" s="49">
        <v>-16.0181</v>
      </c>
      <c r="F198" s="49">
        <v>-64.727500000000006</v>
      </c>
      <c r="G198" s="49">
        <v>274</v>
      </c>
      <c r="H198" s="49">
        <v>2009</v>
      </c>
      <c r="I198" s="53" t="s">
        <v>238</v>
      </c>
      <c r="M198" t="s">
        <v>326</v>
      </c>
    </row>
    <row r="199" spans="1:15">
      <c r="A199" s="49">
        <v>772</v>
      </c>
      <c r="B199" s="49" t="s">
        <v>12</v>
      </c>
      <c r="C199" s="49">
        <v>0</v>
      </c>
      <c r="D199" s="49" t="s">
        <v>63</v>
      </c>
      <c r="E199" s="49">
        <v>-15.9002</v>
      </c>
      <c r="F199" s="49">
        <v>-64.747399999999999</v>
      </c>
      <c r="G199" s="49">
        <v>274</v>
      </c>
      <c r="H199" s="49">
        <v>1992</v>
      </c>
      <c r="I199" s="53" t="s">
        <v>240</v>
      </c>
      <c r="M199" t="s">
        <v>327</v>
      </c>
    </row>
    <row r="200" spans="1:15">
      <c r="A200" s="49">
        <v>774</v>
      </c>
      <c r="B200" s="49" t="s">
        <v>10</v>
      </c>
      <c r="C200" s="49">
        <v>1</v>
      </c>
      <c r="D200" s="49" t="s">
        <v>63</v>
      </c>
      <c r="E200" s="49">
        <v>-16.063800000000001</v>
      </c>
      <c r="F200" s="49">
        <v>-64.706599999999995</v>
      </c>
      <c r="G200" s="49">
        <v>274</v>
      </c>
      <c r="H200" s="49">
        <v>2007</v>
      </c>
      <c r="I200" s="53" t="s">
        <v>236</v>
      </c>
      <c r="J200" s="49" t="s">
        <v>237</v>
      </c>
      <c r="M200" t="s">
        <v>326</v>
      </c>
    </row>
    <row r="201" spans="1:15">
      <c r="A201" s="49">
        <v>776</v>
      </c>
      <c r="B201" s="49" t="s">
        <v>10</v>
      </c>
      <c r="C201" s="49">
        <v>1</v>
      </c>
      <c r="D201" s="49" t="s">
        <v>63</v>
      </c>
      <c r="E201" s="49">
        <v>-16.169799999999999</v>
      </c>
      <c r="F201" s="49">
        <v>-64.698300000000003</v>
      </c>
      <c r="G201" s="49">
        <v>274</v>
      </c>
      <c r="H201" s="49">
        <v>1998</v>
      </c>
      <c r="I201" s="53" t="s">
        <v>234</v>
      </c>
      <c r="M201">
        <v>2006</v>
      </c>
    </row>
    <row r="202" spans="1:15">
      <c r="A202" s="49">
        <v>777</v>
      </c>
      <c r="B202" s="49" t="s">
        <v>10</v>
      </c>
      <c r="C202" s="49">
        <v>1</v>
      </c>
      <c r="D202" s="49" t="s">
        <v>63</v>
      </c>
      <c r="E202" s="49">
        <v>-15.649800000000001</v>
      </c>
      <c r="F202" s="49">
        <v>-64.779499999999999</v>
      </c>
      <c r="G202" s="49">
        <v>299</v>
      </c>
      <c r="H202" s="49">
        <v>2006</v>
      </c>
      <c r="I202" s="53" t="s">
        <v>242</v>
      </c>
      <c r="M202" t="s">
        <v>327</v>
      </c>
    </row>
    <row r="203" spans="1:15">
      <c r="A203" s="49">
        <v>778</v>
      </c>
      <c r="B203" s="49" t="s">
        <v>10</v>
      </c>
      <c r="C203" s="49">
        <v>1</v>
      </c>
      <c r="D203" s="49" t="s">
        <v>63</v>
      </c>
      <c r="E203" s="49">
        <v>-15.569699999999999</v>
      </c>
      <c r="F203" s="49">
        <v>-64.787199999999999</v>
      </c>
      <c r="G203" s="49">
        <v>305</v>
      </c>
      <c r="H203" s="49">
        <v>1990</v>
      </c>
      <c r="I203" s="53" t="s">
        <v>243</v>
      </c>
      <c r="M203">
        <v>2000</v>
      </c>
    </row>
    <row r="204" spans="1:15">
      <c r="A204" s="49">
        <v>779</v>
      </c>
      <c r="B204" s="49" t="s">
        <v>10</v>
      </c>
      <c r="C204" s="49">
        <v>1</v>
      </c>
      <c r="D204" s="49" t="s">
        <v>63</v>
      </c>
      <c r="E204" s="49">
        <v>-15.165800000000001</v>
      </c>
      <c r="F204" s="49">
        <v>-65.015199999999993</v>
      </c>
      <c r="G204" s="49">
        <v>366</v>
      </c>
      <c r="H204" s="49">
        <v>1992</v>
      </c>
      <c r="I204" s="53" t="s">
        <v>246</v>
      </c>
      <c r="M204">
        <v>2003</v>
      </c>
    </row>
    <row r="205" spans="1:15">
      <c r="A205" s="49">
        <v>780</v>
      </c>
      <c r="B205" s="49" t="s">
        <v>10</v>
      </c>
      <c r="C205" s="49">
        <v>1</v>
      </c>
      <c r="D205" s="49" t="s">
        <v>63</v>
      </c>
      <c r="E205" s="49">
        <v>-14.956</v>
      </c>
      <c r="F205" s="49">
        <v>-64.989099999999993</v>
      </c>
      <c r="G205" s="49">
        <v>366</v>
      </c>
      <c r="H205" s="49">
        <v>2010</v>
      </c>
      <c r="I205" s="53" t="s">
        <v>247</v>
      </c>
      <c r="J205" s="59" t="s">
        <v>181</v>
      </c>
      <c r="M205" t="s">
        <v>326</v>
      </c>
    </row>
    <row r="206" spans="1:15">
      <c r="A206" s="49">
        <v>781</v>
      </c>
      <c r="B206" s="49" t="s">
        <v>12</v>
      </c>
      <c r="C206" s="49">
        <v>0</v>
      </c>
      <c r="D206" s="49" t="s">
        <v>63</v>
      </c>
      <c r="E206" s="49">
        <v>-14.879200000000001</v>
      </c>
      <c r="F206" s="49">
        <v>-65.042199999999994</v>
      </c>
      <c r="G206" s="49">
        <v>366</v>
      </c>
      <c r="H206" s="49">
        <v>1998</v>
      </c>
      <c r="I206" s="53" t="s">
        <v>248</v>
      </c>
      <c r="J206" s="59" t="s">
        <v>181</v>
      </c>
      <c r="M206" t="s">
        <v>326</v>
      </c>
    </row>
    <row r="207" spans="1:15">
      <c r="A207" s="49">
        <v>782</v>
      </c>
      <c r="B207" s="49" t="s">
        <v>10</v>
      </c>
      <c r="C207" s="49">
        <v>1</v>
      </c>
      <c r="D207" s="49" t="s">
        <v>63</v>
      </c>
      <c r="E207" s="49">
        <v>-14.726699999999999</v>
      </c>
      <c r="F207" s="49">
        <v>-65.032700000000006</v>
      </c>
      <c r="G207" s="49">
        <v>366</v>
      </c>
      <c r="H207" s="49">
        <v>1994</v>
      </c>
      <c r="I207" s="53" t="s">
        <v>250</v>
      </c>
      <c r="M207" t="s">
        <v>326</v>
      </c>
    </row>
    <row r="208" spans="1:15">
      <c r="A208" s="49">
        <v>783</v>
      </c>
      <c r="B208" s="49" t="s">
        <v>10</v>
      </c>
      <c r="C208" s="49">
        <v>1</v>
      </c>
      <c r="D208" s="49" t="s">
        <v>63</v>
      </c>
      <c r="E208" s="49">
        <v>-15.212</v>
      </c>
      <c r="F208" s="49">
        <v>-64.938599999999994</v>
      </c>
      <c r="G208" s="49">
        <v>366</v>
      </c>
      <c r="H208" s="49">
        <v>1987</v>
      </c>
      <c r="I208" s="53" t="s">
        <v>245</v>
      </c>
      <c r="J208" s="59" t="s">
        <v>181</v>
      </c>
      <c r="M208" t="s">
        <v>326</v>
      </c>
    </row>
    <row r="209" spans="1:13">
      <c r="A209" s="49">
        <v>785</v>
      </c>
      <c r="B209" s="49" t="s">
        <v>12</v>
      </c>
      <c r="C209" s="49">
        <v>0</v>
      </c>
      <c r="D209" s="49" t="s">
        <v>63</v>
      </c>
      <c r="E209" s="49">
        <v>-14.813599999999999</v>
      </c>
      <c r="F209" s="49">
        <v>-65.040599999999998</v>
      </c>
      <c r="G209" s="49">
        <v>366</v>
      </c>
      <c r="H209" s="49">
        <v>2018</v>
      </c>
      <c r="I209" s="53" t="s">
        <v>249</v>
      </c>
      <c r="M209" t="s">
        <v>326</v>
      </c>
    </row>
    <row r="210" spans="1:13">
      <c r="A210" s="49">
        <v>787</v>
      </c>
      <c r="B210" s="49" t="s">
        <v>10</v>
      </c>
      <c r="C210" s="49">
        <v>1</v>
      </c>
      <c r="D210" s="49" t="s">
        <v>63</v>
      </c>
      <c r="E210" s="49">
        <v>-14.661199999999999</v>
      </c>
      <c r="F210" s="49">
        <v>-65.039299999999997</v>
      </c>
      <c r="G210" s="49">
        <v>366</v>
      </c>
      <c r="H210" s="49">
        <v>1991</v>
      </c>
      <c r="I210" s="53" t="s">
        <v>251</v>
      </c>
      <c r="M210" t="s">
        <v>327</v>
      </c>
    </row>
    <row r="211" spans="1:13">
      <c r="A211" s="49">
        <v>788</v>
      </c>
      <c r="B211" s="49" t="s">
        <v>10</v>
      </c>
      <c r="C211" s="49">
        <v>1</v>
      </c>
      <c r="D211" s="49" t="s">
        <v>63</v>
      </c>
      <c r="E211" s="49">
        <v>-14.448600000000001</v>
      </c>
      <c r="F211" s="49">
        <v>-64.986500000000007</v>
      </c>
      <c r="G211" s="49">
        <v>366</v>
      </c>
      <c r="H211" s="49">
        <v>2018</v>
      </c>
      <c r="I211" s="53" t="s">
        <v>252</v>
      </c>
      <c r="M211" t="s">
        <v>326</v>
      </c>
    </row>
    <row r="212" spans="1:13">
      <c r="A212" s="49">
        <v>789</v>
      </c>
      <c r="B212" s="49" t="s">
        <v>10</v>
      </c>
      <c r="C212" s="49">
        <v>1</v>
      </c>
      <c r="D212" s="49" t="s">
        <v>63</v>
      </c>
      <c r="E212" s="49">
        <v>-15.2819</v>
      </c>
      <c r="F212" s="49">
        <v>-64.954499999999996</v>
      </c>
      <c r="G212" s="49">
        <v>366</v>
      </c>
      <c r="H212" s="49">
        <v>2017</v>
      </c>
      <c r="I212" s="53" t="s">
        <v>244</v>
      </c>
      <c r="M212">
        <v>2022</v>
      </c>
    </row>
    <row r="213" spans="1:13">
      <c r="A213" s="49">
        <v>790</v>
      </c>
      <c r="B213" s="49" t="s">
        <v>10</v>
      </c>
      <c r="C213" s="49">
        <v>1</v>
      </c>
      <c r="D213" s="49" t="s">
        <v>63</v>
      </c>
      <c r="E213" s="49">
        <v>-15.7598</v>
      </c>
      <c r="F213" s="49">
        <v>-64.750399999999999</v>
      </c>
      <c r="G213" s="49">
        <v>305</v>
      </c>
      <c r="H213" s="49">
        <v>2009</v>
      </c>
      <c r="I213" s="53" t="s">
        <v>241</v>
      </c>
      <c r="M213" t="s">
        <v>326</v>
      </c>
    </row>
    <row r="214" spans="1:13">
      <c r="A214" s="57">
        <v>791</v>
      </c>
      <c r="B214" s="57" t="s">
        <v>10</v>
      </c>
      <c r="C214" s="57">
        <v>1</v>
      </c>
      <c r="D214" s="57" t="s">
        <v>63</v>
      </c>
      <c r="E214" s="57">
        <v>-14.701499999999999</v>
      </c>
      <c r="F214" s="57">
        <v>-65.043400000000005</v>
      </c>
      <c r="G214" s="57">
        <v>366</v>
      </c>
      <c r="H214" s="57">
        <v>2003</v>
      </c>
      <c r="I214" s="58" t="s">
        <v>170</v>
      </c>
      <c r="M214">
        <v>2011</v>
      </c>
    </row>
    <row r="215" spans="1:13">
      <c r="A215" s="49">
        <v>794</v>
      </c>
      <c r="B215" s="49" t="s">
        <v>10</v>
      </c>
      <c r="C215" s="49">
        <v>1</v>
      </c>
      <c r="D215" s="49" t="s">
        <v>63</v>
      </c>
      <c r="E215" s="49">
        <v>-14.3864</v>
      </c>
      <c r="F215" s="49">
        <v>-64.953800000000001</v>
      </c>
      <c r="G215" s="49">
        <v>366</v>
      </c>
      <c r="H215" s="49">
        <v>1991</v>
      </c>
      <c r="I215" s="53" t="s">
        <v>253</v>
      </c>
      <c r="M215" t="s">
        <v>326</v>
      </c>
    </row>
    <row r="216" spans="1:13">
      <c r="A216" s="49">
        <v>797</v>
      </c>
      <c r="B216" s="49" t="s">
        <v>10</v>
      </c>
      <c r="C216" s="49">
        <v>1</v>
      </c>
      <c r="D216" s="49" t="s">
        <v>63</v>
      </c>
      <c r="E216" s="49">
        <v>-13.7903</v>
      </c>
      <c r="F216" s="49">
        <v>-65.249499999999998</v>
      </c>
      <c r="G216" s="49">
        <v>366</v>
      </c>
      <c r="H216" s="49">
        <v>2011</v>
      </c>
      <c r="I216" s="53" t="s">
        <v>254</v>
      </c>
      <c r="M216">
        <v>2021</v>
      </c>
    </row>
    <row r="217" spans="1:13">
      <c r="A217" s="49">
        <v>798</v>
      </c>
      <c r="B217" s="49" t="s">
        <v>10</v>
      </c>
      <c r="C217" s="49">
        <v>1</v>
      </c>
      <c r="D217" s="49" t="s">
        <v>63</v>
      </c>
      <c r="E217" s="49">
        <v>-13.721</v>
      </c>
      <c r="F217" s="49">
        <v>-65.307299999999998</v>
      </c>
      <c r="G217" s="49">
        <v>366</v>
      </c>
      <c r="H217" s="49">
        <v>1998</v>
      </c>
      <c r="I217" s="53" t="s">
        <v>255</v>
      </c>
      <c r="M217" t="s">
        <v>326</v>
      </c>
    </row>
    <row r="218" spans="1:13">
      <c r="A218" s="49">
        <v>804</v>
      </c>
      <c r="B218" s="49" t="s">
        <v>10</v>
      </c>
      <c r="C218" s="49">
        <v>1</v>
      </c>
      <c r="D218" s="49" t="s">
        <v>63</v>
      </c>
      <c r="E218" s="49">
        <v>-12.898</v>
      </c>
      <c r="F218" s="49">
        <v>-65.034400000000005</v>
      </c>
      <c r="G218" s="49">
        <v>469</v>
      </c>
      <c r="H218" s="49">
        <v>1997</v>
      </c>
      <c r="I218" s="53" t="s">
        <v>256</v>
      </c>
      <c r="M218" t="s">
        <v>326</v>
      </c>
    </row>
  </sheetData>
  <mergeCells count="3">
    <mergeCell ref="I2:I55"/>
    <mergeCell ref="I170:I174"/>
    <mergeCell ref="I57:I58"/>
  </mergeCells>
  <phoneticPr fontId="3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8A5BA-184F-4334-A3CC-7CA09172714D}">
  <dimension ref="A1:L7"/>
  <sheetViews>
    <sheetView workbookViewId="0">
      <selection activeCell="D18" sqref="D18"/>
    </sheetView>
  </sheetViews>
  <sheetFormatPr defaultRowHeight="13.5"/>
  <cols>
    <col min="3" max="3" width="14.625" customWidth="1"/>
    <col min="4" max="4" width="18.25" customWidth="1"/>
    <col min="5" max="5" width="22.125" customWidth="1"/>
    <col min="6" max="6" width="18.875" customWidth="1"/>
    <col min="7" max="7" width="35.5" customWidth="1"/>
  </cols>
  <sheetData>
    <row r="1" spans="1:12">
      <c r="B1" t="s">
        <v>282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I1" t="s">
        <v>292</v>
      </c>
      <c r="L1" t="s">
        <v>293</v>
      </c>
    </row>
    <row r="2" spans="1:12">
      <c r="A2" t="s">
        <v>283</v>
      </c>
      <c r="B2">
        <v>30</v>
      </c>
      <c r="C2">
        <v>3</v>
      </c>
      <c r="D2">
        <v>0</v>
      </c>
      <c r="E2">
        <v>8</v>
      </c>
      <c r="F2">
        <v>8</v>
      </c>
      <c r="G2">
        <f>B2-C2-D2-E2-F2</f>
        <v>11</v>
      </c>
      <c r="I2">
        <v>126</v>
      </c>
      <c r="L2">
        <f>I2-G2</f>
        <v>115</v>
      </c>
    </row>
    <row r="3" spans="1:12">
      <c r="A3" t="s">
        <v>284</v>
      </c>
      <c r="B3">
        <v>135</v>
      </c>
      <c r="C3">
        <v>5</v>
      </c>
      <c r="D3">
        <v>5</v>
      </c>
      <c r="E3">
        <v>37</v>
      </c>
      <c r="F3">
        <v>10</v>
      </c>
      <c r="G3">
        <f>B3-C3-D3-E3-F3</f>
        <v>78</v>
      </c>
      <c r="I3">
        <v>140</v>
      </c>
      <c r="L3">
        <f>I3-G3</f>
        <v>62</v>
      </c>
    </row>
    <row r="4" spans="1:12">
      <c r="A4" t="s">
        <v>286</v>
      </c>
      <c r="B4">
        <v>0</v>
      </c>
      <c r="C4">
        <v>0</v>
      </c>
      <c r="D4">
        <v>0</v>
      </c>
      <c r="E4">
        <v>0</v>
      </c>
      <c r="I4">
        <v>3</v>
      </c>
      <c r="L4">
        <v>3</v>
      </c>
    </row>
    <row r="5" spans="1:12">
      <c r="A5" t="s">
        <v>285</v>
      </c>
      <c r="B5">
        <v>165</v>
      </c>
      <c r="C5">
        <v>8</v>
      </c>
      <c r="D5">
        <v>5</v>
      </c>
      <c r="E5">
        <v>45</v>
      </c>
      <c r="F5">
        <v>18</v>
      </c>
      <c r="G5">
        <f>B5-C5-D5-E5-F5</f>
        <v>89</v>
      </c>
      <c r="I5">
        <v>269</v>
      </c>
      <c r="L5">
        <f>I5-G5</f>
        <v>180</v>
      </c>
    </row>
    <row r="7" spans="1:12">
      <c r="I7">
        <f>165+180</f>
        <v>345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angle_and_slope</vt:lpstr>
      <vt:lpstr>Upstream_bar</vt:lpstr>
      <vt:lpstr>infill_rate</vt:lpstr>
      <vt:lpstr>infill_ten</vt:lpstr>
      <vt:lpstr>migration</vt:lpstr>
      <vt:lpstr>data_merge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Jing, Ye</cp:lastModifiedBy>
  <dcterms:created xsi:type="dcterms:W3CDTF">2025-10-16T00:04:27Z</dcterms:created>
  <dcterms:modified xsi:type="dcterms:W3CDTF">2025-12-16T06:43:25Z</dcterms:modified>
</cp:coreProperties>
</file>